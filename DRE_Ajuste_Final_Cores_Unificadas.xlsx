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6645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8">
    <numFmt numFmtId="164" formatCode="_-\ #,##0_-;\-\ #,##0_-;_-\ &quot;-&quot;??_-;_-@_-"/>
    <numFmt numFmtId="165" formatCode="0.0%"/>
    <numFmt numFmtId="166" formatCode="_-\ #,##0_-;[Yellow]\-\ #,##0_-;_-\ &quot;-&quot;??_-;_-@_-"/>
    <numFmt numFmtId="167" formatCode="_0.0%;[Yellow]\-0.0%_-"/>
    <numFmt numFmtId="168" formatCode="_-* #,##0.00_-;\-* #,##0.00_-;_-* &quot;-&quot;??_-;_-@_-"/>
    <numFmt numFmtId="169" formatCode="↑ 0.00%;↓ -0.00%;→ 0.00%"/>
    <numFmt numFmtId="170" formatCode="[Blue]↑ 0.00%;[Red]↓ -0.00%;[Color 46]→ 0.00%"/>
    <numFmt numFmtId="171" formatCode="[Color 20]↑ 0.00%;[Red]↓ -0.00%;[Color 46]→ 0.00%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8" tint="-0.499984740745262"/>
      <sz val="10"/>
      <scheme val="minor"/>
    </font>
    <font>
      <name val="Calibri"/>
      <family val="2"/>
      <i val="1"/>
      <color theme="8" tint="-0.499984740745262"/>
      <sz val="10"/>
      <scheme val="minor"/>
    </font>
    <font>
      <name val="Calibri"/>
      <family val="2"/>
      <color theme="8" tint="-0.499984740745262"/>
      <sz val="10"/>
      <scheme val="minor"/>
    </font>
    <font>
      <name val="Calibri"/>
      <family val="2"/>
      <b val="1"/>
      <color theme="1" tint="0.249977111117893"/>
      <sz val="10"/>
      <scheme val="minor"/>
    </font>
    <font>
      <name val="Calibri"/>
      <family val="2"/>
      <i val="1"/>
      <color theme="7" tint="-0.499984740745262"/>
      <sz val="10"/>
      <scheme val="minor"/>
    </font>
    <font>
      <name val="Calibri"/>
      <family val="2"/>
      <color theme="1" tint="0.249977111117893"/>
      <sz val="10"/>
      <scheme val="minor"/>
    </font>
    <font>
      <name val="Calibri"/>
      <family val="2"/>
      <b val="1"/>
      <color theme="7"/>
      <sz val="12"/>
      <scheme val="minor"/>
    </font>
    <font>
      <name val="Calibri"/>
      <family val="2"/>
      <b val="1"/>
      <color theme="9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color rgb="00FF0000"/>
    </font>
    <font>
      <color rgb="000000FF"/>
    </font>
    <font>
      <color rgb="00FFA500"/>
    </font>
    <font>
      <name val="Calibri"/>
      <sz val="9"/>
    </font>
    <font>
      <name val="Calibri"/>
      <b val="1"/>
      <sz val="10"/>
    </font>
  </fonts>
  <fills count="16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rgb="FF00B050"/>
      </bottom>
      <diagonal/>
    </border>
    <border>
      <left/>
      <right/>
      <top style="double">
        <color theme="0"/>
      </top>
      <bottom/>
      <diagonal/>
    </border>
    <border>
      <left/>
      <right style="double">
        <color theme="0"/>
      </right>
      <top style="double">
        <color theme="0"/>
      </top>
      <bottom/>
      <diagonal/>
    </border>
    <border>
      <left/>
      <right/>
      <top style="double">
        <color theme="0"/>
      </top>
      <bottom style="double">
        <color theme="0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86">
    <xf numFmtId="0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4" pivotButton="0" quotePrefix="0" xfId="0"/>
    <xf numFmtId="0" fontId="5" fillId="0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 indent="1"/>
    </xf>
    <xf numFmtId="164" fontId="6" fillId="4" borderId="5" applyAlignment="1" pivotButton="0" quotePrefix="0" xfId="2">
      <alignment vertical="center"/>
    </xf>
    <xf numFmtId="165" fontId="6" fillId="4" borderId="5" applyAlignment="1" pivotButton="0" quotePrefix="0" xfId="3">
      <alignment vertical="center"/>
    </xf>
    <xf numFmtId="0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left" vertical="center" indent="1"/>
    </xf>
    <xf numFmtId="164" fontId="8" fillId="5" borderId="5" applyAlignment="1" pivotButton="0" quotePrefix="0" xfId="2">
      <alignment vertical="center"/>
    </xf>
    <xf numFmtId="165" fontId="8" fillId="5" borderId="5" applyAlignment="1" pivotButton="0" quotePrefix="0" xfId="3">
      <alignment vertical="center"/>
    </xf>
    <xf numFmtId="0" fontId="3" fillId="6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left" vertical="center" indent="1"/>
    </xf>
    <xf numFmtId="164" fontId="9" fillId="7" borderId="5" applyAlignment="1" pivotButton="0" quotePrefix="0" xfId="2">
      <alignment vertical="center"/>
    </xf>
    <xf numFmtId="165" fontId="9" fillId="7" borderId="5" applyAlignment="1" pivotButton="0" quotePrefix="0" xfId="3">
      <alignment vertical="center"/>
    </xf>
    <xf numFmtId="0" fontId="10" fillId="7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 indent="1"/>
    </xf>
    <xf numFmtId="164" fontId="11" fillId="8" borderId="5" applyAlignment="1" pivotButton="0" quotePrefix="0" xfId="2">
      <alignment vertical="center"/>
    </xf>
    <xf numFmtId="165" fontId="11" fillId="8" borderId="5" applyAlignment="1" pivotButton="0" quotePrefix="0" xfId="3">
      <alignment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 indent="1"/>
    </xf>
    <xf numFmtId="164" fontId="4" fillId="0" borderId="5" applyAlignment="1" pivotButton="0" quotePrefix="0" xfId="2">
      <alignment horizontal="right" vertical="center" indent="1"/>
    </xf>
    <xf numFmtId="165" fontId="4" fillId="0" borderId="5" applyAlignment="1" pivotButton="0" quotePrefix="0" xfId="3">
      <alignment horizontal="right" vertical="center" indent="1"/>
    </xf>
    <xf numFmtId="0" fontId="3" fillId="9" borderId="5" applyAlignment="1" pivotButton="0" quotePrefix="0" xfId="0">
      <alignment horizontal="center" vertical="center"/>
    </xf>
    <xf numFmtId="0" fontId="3" fillId="9" borderId="6" applyAlignment="1" pivotButton="0" quotePrefix="0" xfId="0">
      <alignment horizontal="left" vertical="center" indent="1"/>
    </xf>
    <xf numFmtId="166" fontId="3" fillId="10" borderId="5" applyAlignment="1" pivotButton="0" quotePrefix="0" xfId="2">
      <alignment horizontal="center" vertical="center"/>
    </xf>
    <xf numFmtId="167" fontId="3" fillId="10" borderId="5" applyAlignment="1" pivotButton="0" quotePrefix="0" xfId="3">
      <alignment horizontal="center" vertical="center"/>
    </xf>
    <xf numFmtId="168" fontId="4" fillId="0" borderId="5" applyAlignment="1" pivotButton="0" quotePrefix="0" xfId="1">
      <alignment horizontal="right" vertical="center" indent="1"/>
    </xf>
    <xf numFmtId="0" fontId="10" fillId="8" borderId="5" applyAlignment="1" pivotButton="0" quotePrefix="0" xfId="0">
      <alignment horizontal="center" vertical="center"/>
    </xf>
    <xf numFmtId="0" fontId="11" fillId="8" borderId="5" applyAlignment="1" pivotButton="0" quotePrefix="0" xfId="0">
      <alignment horizontal="left" vertical="center" indent="1"/>
    </xf>
    <xf numFmtId="164" fontId="11" fillId="11" borderId="5" applyAlignment="1" pivotButton="0" quotePrefix="0" xfId="2">
      <alignment vertical="center"/>
    </xf>
    <xf numFmtId="165" fontId="11" fillId="11" borderId="5" applyAlignment="1" pivotButton="0" quotePrefix="0" xfId="3">
      <alignment vertical="center"/>
    </xf>
    <xf numFmtId="0" fontId="4" fillId="0" borderId="0" applyAlignment="1" pivotButton="0" quotePrefix="0" xfId="0">
      <alignment horizontal="left"/>
    </xf>
    <xf numFmtId="164" fontId="4" fillId="0" borderId="0" pivotButton="0" quotePrefix="0" xfId="0"/>
    <xf numFmtId="165" fontId="4" fillId="0" borderId="0" pivotButton="0" quotePrefix="0" xfId="3"/>
    <xf numFmtId="0" fontId="12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left" vertical="center"/>
    </xf>
    <xf numFmtId="164" fontId="14" fillId="0" borderId="7" pivotButton="0" quotePrefix="0" xfId="0"/>
    <xf numFmtId="165" fontId="14" fillId="0" borderId="7" pivotButton="0" quotePrefix="0" xfId="3"/>
    <xf numFmtId="0" fontId="3" fillId="12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left" vertical="center" indent="1"/>
    </xf>
    <xf numFmtId="164" fontId="9" fillId="13" borderId="5" applyAlignment="1" pivotButton="0" quotePrefix="0" xfId="2">
      <alignment vertical="center"/>
    </xf>
    <xf numFmtId="165" fontId="9" fillId="13" borderId="5" applyAlignment="1" pivotButton="0" quotePrefix="0" xfId="3">
      <alignment vertical="center"/>
    </xf>
    <xf numFmtId="0" fontId="10" fillId="13" borderId="5" applyAlignment="1" pivotButton="0" quotePrefix="0" xfId="0">
      <alignment horizontal="center" vertical="center"/>
    </xf>
    <xf numFmtId="0" fontId="11" fillId="13" borderId="5" applyAlignment="1" pivotButton="0" quotePrefix="0" xfId="0">
      <alignment horizontal="left" vertical="center" indent="1"/>
    </xf>
    <xf numFmtId="164" fontId="11" fillId="14" borderId="5" applyAlignment="1" pivotButton="0" quotePrefix="0" xfId="2">
      <alignment vertical="center"/>
    </xf>
    <xf numFmtId="0" fontId="11" fillId="14" borderId="5" applyAlignment="1" pivotButton="0" quotePrefix="0" xfId="3">
      <alignment vertical="center"/>
    </xf>
    <xf numFmtId="165" fontId="11" fillId="14" borderId="5" applyAlignment="1" pivotButton="0" quotePrefix="0" xfId="3">
      <alignment vertical="center"/>
    </xf>
    <xf numFmtId="164" fontId="4" fillId="0" borderId="0" pivotButton="0" quotePrefix="0" xfId="0"/>
    <xf numFmtId="165" fontId="4" fillId="0" borderId="0" pivotButton="0" quotePrefix="0" xfId="3"/>
    <xf numFmtId="0" fontId="3" fillId="15" borderId="5" applyAlignment="1" pivotButton="0" quotePrefix="0" xfId="0">
      <alignment horizontal="center" vertical="center"/>
    </xf>
    <xf numFmtId="0" fontId="3" fillId="15" borderId="6" applyAlignment="1" pivotButton="0" quotePrefix="0" xfId="0">
      <alignment horizontal="left" vertical="center" indent="1"/>
    </xf>
    <xf numFmtId="166" fontId="3" fillId="12" borderId="5" applyAlignment="1" pivotButton="0" quotePrefix="0" xfId="2">
      <alignment horizontal="center" vertical="center"/>
    </xf>
    <xf numFmtId="167" fontId="3" fillId="12" borderId="5" applyAlignment="1" pivotButton="0" quotePrefix="0" xfId="3">
      <alignment horizontal="center" vertical="center"/>
    </xf>
    <xf numFmtId="0" fontId="2" fillId="0" borderId="0" pivotButton="0" quotePrefix="0" xfId="0"/>
    <xf numFmtId="0" fontId="15" fillId="0" borderId="0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17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7" fontId="3" fillId="2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" pivotButton="0" quotePrefix="0" xfId="0"/>
    <xf numFmtId="10" fontId="6" fillId="4" borderId="5" applyAlignment="1" pivotButton="0" quotePrefix="0" xfId="2">
      <alignment vertical="center"/>
    </xf>
    <xf numFmtId="170" fontId="19" fillId="4" borderId="5" applyAlignment="1" pivotButton="0" quotePrefix="0" xfId="3">
      <alignment horizontal="left" vertical="center"/>
    </xf>
    <xf numFmtId="10" fontId="8" fillId="5" borderId="5" applyAlignment="1" pivotButton="0" quotePrefix="0" xfId="2">
      <alignment vertical="center"/>
    </xf>
    <xf numFmtId="170" fontId="19" fillId="5" borderId="5" applyAlignment="1" pivotButton="0" quotePrefix="0" xfId="3">
      <alignment horizontal="left" vertical="center"/>
    </xf>
    <xf numFmtId="10" fontId="9" fillId="7" borderId="5" applyAlignment="1" pivotButton="0" quotePrefix="0" xfId="2">
      <alignment vertical="center"/>
    </xf>
    <xf numFmtId="170" fontId="19" fillId="7" borderId="5" applyAlignment="1" pivotButton="0" quotePrefix="0" xfId="3">
      <alignment horizontal="left" vertical="center"/>
    </xf>
    <xf numFmtId="10" fontId="11" fillId="8" borderId="5" applyAlignment="1" pivotButton="0" quotePrefix="0" xfId="2">
      <alignment vertical="center"/>
    </xf>
    <xf numFmtId="170" fontId="19" fillId="8" borderId="5" applyAlignment="1" pivotButton="0" quotePrefix="0" xfId="3">
      <alignment horizontal="left" vertical="center"/>
    </xf>
    <xf numFmtId="10" fontId="4" fillId="0" borderId="5" applyAlignment="1" pivotButton="0" quotePrefix="0" xfId="2">
      <alignment horizontal="right" vertical="center" indent="1"/>
    </xf>
    <xf numFmtId="10" fontId="3" fillId="10" borderId="5" applyAlignment="1" pivotButton="0" quotePrefix="0" xfId="2">
      <alignment horizontal="center" vertical="center"/>
    </xf>
    <xf numFmtId="171" fontId="20" fillId="10" borderId="5" applyAlignment="1" pivotButton="0" quotePrefix="0" xfId="3">
      <alignment horizontal="left" vertical="center"/>
    </xf>
    <xf numFmtId="168" fontId="4" fillId="0" borderId="5" applyAlignment="1" pivotButton="0" quotePrefix="0" xfId="1">
      <alignment horizontal="right" vertical="center" indent="1"/>
    </xf>
    <xf numFmtId="10" fontId="11" fillId="11" borderId="5" applyAlignment="1" pivotButton="0" quotePrefix="0" xfId="2">
      <alignment vertical="center"/>
    </xf>
    <xf numFmtId="170" fontId="19" fillId="11" borderId="5" applyAlignment="1" pivotButton="0" quotePrefix="0" xfId="3">
      <alignment horizontal="left" vertical="center"/>
    </xf>
    <xf numFmtId="10" fontId="4" fillId="0" borderId="0" pivotButton="0" quotePrefix="0" xfId="0"/>
    <xf numFmtId="10" fontId="14" fillId="0" borderId="7" pivotButton="0" quotePrefix="0" xfId="0"/>
    <xf numFmtId="10" fontId="9" fillId="13" borderId="5" applyAlignment="1" pivotButton="0" quotePrefix="0" xfId="2">
      <alignment vertical="center"/>
    </xf>
    <xf numFmtId="170" fontId="19" fillId="13" borderId="5" applyAlignment="1" pivotButton="0" quotePrefix="0" xfId="3">
      <alignment horizontal="left" vertical="center"/>
    </xf>
    <xf numFmtId="170" fontId="19" fillId="14" borderId="5" applyAlignment="1" pivotButton="0" quotePrefix="0" xfId="3">
      <alignment horizontal="left" vertical="center"/>
    </xf>
    <xf numFmtId="10" fontId="11" fillId="14" borderId="5" applyAlignment="1" pivotButton="0" quotePrefix="0" xfId="2">
      <alignment vertical="center"/>
    </xf>
    <xf numFmtId="10" fontId="3" fillId="12" borderId="5" applyAlignment="1" pivotButton="0" quotePrefix="0" xfId="2">
      <alignment horizontal="center" vertical="center"/>
    </xf>
    <xf numFmtId="170" fontId="19" fillId="12" borderId="5" applyAlignment="1" pivotButton="0" quotePrefix="0" xfId="3">
      <alignment horizontal="left" vertical="center"/>
    </xf>
  </cellXfs>
  <cellStyles count="4">
    <cellStyle name="Normal" xfId="0" builtinId="0"/>
    <cellStyle name="Vírgula" xfId="1" builtinId="3"/>
    <cellStyle name="Moeda" xfId="2" builtinId="4"/>
    <cellStyle name="Porcentagem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3"/>
  <sheetViews>
    <sheetView tabSelected="1" workbookViewId="0">
      <selection activeCell="I2" sqref="I2"/>
    </sheetView>
  </sheetViews>
  <sheetFormatPr baseColWidth="8" defaultRowHeight="15" outlineLevelCol="0"/>
  <cols>
    <col width="4.42578125" bestFit="1" customWidth="1" min="1" max="1"/>
    <col width="30.140625" bestFit="1" customWidth="1" min="2" max="2"/>
    <col width="10.42578125" bestFit="1" customWidth="1" min="3" max="3"/>
    <col width="10.42578125" bestFit="1" customWidth="1" min="6" max="6"/>
    <col width="14" customWidth="1" min="8" max="8"/>
    <col width="10.42578125" bestFit="1" customWidth="1" min="9" max="9"/>
    <col width="14" customWidth="1" min="11" max="11"/>
    <col width="10.42578125" bestFit="1" customWidth="1" min="12" max="12"/>
    <col width="14" customWidth="1" min="14" max="14"/>
    <col width="10.42578125" bestFit="1" customWidth="1" min="15" max="15"/>
    <col width="14" customWidth="1" min="17" max="17"/>
    <col width="10.42578125" bestFit="1" customWidth="1" min="18" max="18"/>
    <col width="14" customWidth="1" min="20" max="20"/>
    <col width="10.42578125" bestFit="1" customWidth="1" min="21" max="21"/>
    <col width="10.42578125" customWidth="1" min="22" max="22"/>
    <col width="14" customWidth="1" min="23" max="23"/>
    <col width="10.42578125" bestFit="1" customWidth="1" min="24" max="24"/>
    <col width="14" customWidth="1" min="26" max="26"/>
    <col width="10.42578125" bestFit="1" customWidth="1" min="27" max="27"/>
    <col width="14" customWidth="1" min="29" max="29"/>
    <col width="10.42578125" bestFit="1" customWidth="1" min="30" max="30"/>
    <col width="14" customWidth="1" min="32" max="32"/>
    <col width="10.42578125" bestFit="1" customWidth="1" min="33" max="33"/>
    <col width="14" customWidth="1" min="35" max="35"/>
    <col width="10.42578125" bestFit="1" customWidth="1" min="36" max="36"/>
    <col width="14" customWidth="1" min="38" max="38"/>
    <col width="11.42578125" bestFit="1" customWidth="1" min="39" max="39"/>
    <col width="5" bestFit="1" customWidth="1" min="41" max="41"/>
    <col width="17.85546875" bestFit="1" customWidth="1" min="42" max="42"/>
  </cols>
  <sheetData>
    <row r="1" ht="27.75" customHeight="1" thickBot="1" thickTop="1">
      <c r="A1" s="56" t="n"/>
      <c r="B1" s="57" t="inlineStr">
        <is>
          <t>DRE - gerencial 2024</t>
        </is>
      </c>
      <c r="C1" s="59" t="inlineStr">
        <is>
          <t>Janeiro</t>
        </is>
      </c>
      <c r="D1" s="62" t="n"/>
      <c r="E1" s="63" t="n"/>
      <c r="F1" s="61" t="inlineStr">
        <is>
          <t>Fevereiro</t>
        </is>
      </c>
      <c r="G1" s="62" t="n"/>
      <c r="H1" s="63" t="n"/>
      <c r="I1" s="58" t="inlineStr">
        <is>
          <t>março</t>
        </is>
      </c>
      <c r="J1" s="62" t="n"/>
      <c r="K1" s="63" t="n"/>
      <c r="L1" s="58" t="inlineStr">
        <is>
          <t>abril</t>
        </is>
      </c>
      <c r="M1" s="62" t="n"/>
      <c r="N1" s="63" t="n"/>
      <c r="O1" s="58" t="inlineStr">
        <is>
          <t>maio</t>
        </is>
      </c>
      <c r="P1" s="62" t="n"/>
      <c r="Q1" s="63" t="n"/>
      <c r="R1" s="58" t="inlineStr">
        <is>
          <t>junho</t>
        </is>
      </c>
      <c r="S1" s="62" t="n"/>
      <c r="T1" s="63" t="n"/>
      <c r="U1" s="58" t="inlineStr">
        <is>
          <t>julho</t>
        </is>
      </c>
      <c r="V1" s="62" t="n"/>
      <c r="W1" s="63" t="n"/>
      <c r="X1" s="58" t="inlineStr">
        <is>
          <t>agosto</t>
        </is>
      </c>
      <c r="Y1" s="62" t="n"/>
      <c r="Z1" s="63" t="n"/>
      <c r="AA1" s="58" t="inlineStr">
        <is>
          <t>setembro</t>
        </is>
      </c>
      <c r="AB1" s="62" t="n"/>
      <c r="AC1" s="63" t="n"/>
      <c r="AD1" s="58" t="inlineStr">
        <is>
          <t>outubro</t>
        </is>
      </c>
      <c r="AE1" s="62" t="n"/>
      <c r="AF1" s="63" t="n"/>
      <c r="AG1" s="58" t="inlineStr">
        <is>
          <t>novembro</t>
        </is>
      </c>
      <c r="AH1" s="62" t="n"/>
      <c r="AI1" s="63" t="n"/>
      <c r="AJ1" s="58" t="inlineStr">
        <is>
          <t>dezembro</t>
        </is>
      </c>
      <c r="AK1" s="62" t="n"/>
      <c r="AL1" s="63" t="n"/>
      <c r="AM1" s="1" t="inlineStr">
        <is>
          <t>ACUMULADO</t>
        </is>
      </c>
      <c r="AN1" s="1" t="n"/>
      <c r="AO1" s="1" t="n"/>
      <c r="AP1" s="1" t="inlineStr">
        <is>
          <t>MÉDIA MENSAL 2024</t>
        </is>
      </c>
    </row>
    <row r="2" ht="15.75" customHeight="1" thickTop="1">
      <c r="A2" s="2" t="n"/>
      <c r="B2" s="3" t="n"/>
      <c r="C2" s="4" t="inlineStr">
        <is>
          <t>Real</t>
        </is>
      </c>
      <c r="D2" s="4" t="inlineStr">
        <is>
          <t>% AV</t>
        </is>
      </c>
      <c r="E2" s="4" t="inlineStr">
        <is>
          <t>% AH</t>
        </is>
      </c>
      <c r="F2" s="4" t="inlineStr">
        <is>
          <t>Real</t>
        </is>
      </c>
      <c r="G2" s="4" t="inlineStr">
        <is>
          <t>% AV</t>
        </is>
      </c>
      <c r="H2" s="4" t="inlineStr">
        <is>
          <t>% AH</t>
        </is>
      </c>
      <c r="I2" s="4" t="inlineStr">
        <is>
          <t>Real</t>
        </is>
      </c>
      <c r="J2" s="4" t="inlineStr">
        <is>
          <t>% AV</t>
        </is>
      </c>
      <c r="K2" s="4" t="inlineStr">
        <is>
          <t>% AH</t>
        </is>
      </c>
      <c r="L2" s="4" t="inlineStr">
        <is>
          <t>Real</t>
        </is>
      </c>
      <c r="M2" s="4" t="inlineStr">
        <is>
          <t>% AV</t>
        </is>
      </c>
      <c r="N2" s="4" t="inlineStr">
        <is>
          <t>% AH</t>
        </is>
      </c>
      <c r="O2" s="4" t="inlineStr">
        <is>
          <t>Real</t>
        </is>
      </c>
      <c r="P2" s="4" t="inlineStr">
        <is>
          <t>% AV</t>
        </is>
      </c>
      <c r="Q2" s="4" t="inlineStr">
        <is>
          <t>% AH</t>
        </is>
      </c>
      <c r="R2" s="4" t="inlineStr">
        <is>
          <t>Real</t>
        </is>
      </c>
      <c r="S2" s="4" t="inlineStr">
        <is>
          <t>% AV</t>
        </is>
      </c>
      <c r="T2" s="4" t="inlineStr">
        <is>
          <t>% AH</t>
        </is>
      </c>
      <c r="U2" s="4" t="inlineStr">
        <is>
          <t>Real</t>
        </is>
      </c>
      <c r="V2" s="4" t="inlineStr">
        <is>
          <t>% AV</t>
        </is>
      </c>
      <c r="W2" s="4" t="inlineStr">
        <is>
          <t>% AH</t>
        </is>
      </c>
      <c r="X2" s="4" t="inlineStr">
        <is>
          <t>Real</t>
        </is>
      </c>
      <c r="Y2" s="4" t="inlineStr">
        <is>
          <t>% AV</t>
        </is>
      </c>
      <c r="Z2" s="4" t="inlineStr">
        <is>
          <t>% AH</t>
        </is>
      </c>
      <c r="AA2" s="4" t="inlineStr">
        <is>
          <t>Real</t>
        </is>
      </c>
      <c r="AB2" s="4" t="inlineStr">
        <is>
          <t>% AV</t>
        </is>
      </c>
      <c r="AC2" s="4" t="inlineStr">
        <is>
          <t>% AH</t>
        </is>
      </c>
      <c r="AD2" s="4" t="inlineStr">
        <is>
          <t>Real</t>
        </is>
      </c>
      <c r="AE2" s="4" t="inlineStr">
        <is>
          <t>% AV</t>
        </is>
      </c>
      <c r="AF2" s="4" t="inlineStr">
        <is>
          <t>% AH</t>
        </is>
      </c>
      <c r="AG2" s="4" t="inlineStr">
        <is>
          <t>Real</t>
        </is>
      </c>
      <c r="AH2" s="4" t="inlineStr">
        <is>
          <t>% AV</t>
        </is>
      </c>
      <c r="AI2" s="4" t="inlineStr">
        <is>
          <t>% AH</t>
        </is>
      </c>
      <c r="AJ2" s="4" t="inlineStr">
        <is>
          <t>Real</t>
        </is>
      </c>
      <c r="AK2" s="4" t="inlineStr">
        <is>
          <t>% AV</t>
        </is>
      </c>
      <c r="AL2" s="4" t="inlineStr">
        <is>
          <t>% AH</t>
        </is>
      </c>
      <c r="AM2" s="4" t="inlineStr">
        <is>
          <t>Real</t>
        </is>
      </c>
      <c r="AN2" s="4" t="inlineStr">
        <is>
          <t>% AV</t>
        </is>
      </c>
      <c r="AO2" s="4" t="inlineStr">
        <is>
          <t>% AH</t>
        </is>
      </c>
      <c r="AP2" s="4" t="inlineStr">
        <is>
          <t>Real</t>
        </is>
      </c>
    </row>
    <row r="3">
      <c r="A3" s="5" t="inlineStr">
        <is>
          <t>(+)</t>
        </is>
      </c>
      <c r="B3" s="6" t="inlineStr">
        <is>
          <t>RECEITA BRUTA</t>
        </is>
      </c>
      <c r="C3" s="7">
        <f>C4+C5+C6</f>
        <v/>
      </c>
      <c r="D3" s="64">
        <f>C3/$C$3</f>
        <v/>
      </c>
      <c r="E3" s="8" t="n"/>
      <c r="F3" s="7">
        <f>F4+F5+F6</f>
        <v/>
      </c>
      <c r="G3" s="64">
        <f>F3/$F$3</f>
        <v/>
      </c>
      <c r="H3" s="65">
        <f>IFERROR((F3-C3)/ABS(C3), 0)</f>
        <v/>
      </c>
      <c r="I3" s="7">
        <f>I4+I5+I6</f>
        <v/>
      </c>
      <c r="J3" s="64">
        <f>I3/$I$3</f>
        <v/>
      </c>
      <c r="K3" s="65">
        <f>IFERROR((I3-F3)/ABS(F3), 0)</f>
        <v/>
      </c>
      <c r="L3" s="7">
        <f>L4+L5+L6</f>
        <v/>
      </c>
      <c r="M3" s="64">
        <f>L3/$L$3</f>
        <v/>
      </c>
      <c r="N3" s="65">
        <f>IFERROR((L3-I3)/ABS(I3), 0)</f>
        <v/>
      </c>
      <c r="O3" s="7">
        <f>O4+O5+O6</f>
        <v/>
      </c>
      <c r="P3" s="64">
        <f>O3/$O$3</f>
        <v/>
      </c>
      <c r="Q3" s="65">
        <f>IFERROR((O3-L3)/ABS(L3), 0)</f>
        <v/>
      </c>
      <c r="R3" s="7">
        <f>R4+R5+R6</f>
        <v/>
      </c>
      <c r="S3" s="64">
        <f>R3/$R$3</f>
        <v/>
      </c>
      <c r="T3" s="65">
        <f>IFERROR((R3-O3)/ABS(O3), 0)</f>
        <v/>
      </c>
      <c r="U3" s="7">
        <f>U4+U5+U6</f>
        <v/>
      </c>
      <c r="V3" s="64">
        <f>U3/$U$3</f>
        <v/>
      </c>
      <c r="W3" s="65">
        <f>IFERROR((U3-R3)/ABS(R3), 0)</f>
        <v/>
      </c>
      <c r="X3" s="7">
        <f>X4+X5+X6</f>
        <v/>
      </c>
      <c r="Y3" s="64">
        <f>X3/$X$3</f>
        <v/>
      </c>
      <c r="Z3" s="65">
        <f>IFERROR((X3-U3)/ABS(U3), 0)</f>
        <v/>
      </c>
      <c r="AA3" s="7">
        <f>AA4+AA5+AA6</f>
        <v/>
      </c>
      <c r="AB3" s="64">
        <f>AA3/$AA$3</f>
        <v/>
      </c>
      <c r="AC3" s="65">
        <f>IFERROR((AA3-X3)/ABS(X3), 0)</f>
        <v/>
      </c>
      <c r="AD3" s="7">
        <f>AD4+AD5+AD6</f>
        <v/>
      </c>
      <c r="AE3" s="64">
        <f>AD3/$AD$3</f>
        <v/>
      </c>
      <c r="AF3" s="65">
        <f>IFERROR((AD3-AA3)/ABS(AA3), 0)</f>
        <v/>
      </c>
      <c r="AG3" s="7">
        <f>AG4+AG5+AG6</f>
        <v/>
      </c>
      <c r="AH3" s="64">
        <f>AG3/$AG$3</f>
        <v/>
      </c>
      <c r="AI3" s="65">
        <f>IFERROR((AG3-AD3)/ABS(AD3), 0)</f>
        <v/>
      </c>
      <c r="AJ3" s="7">
        <f>AJ4+AJ5+AJ6</f>
        <v/>
      </c>
      <c r="AK3" s="64">
        <f>AJ3/$AJ$3</f>
        <v/>
      </c>
      <c r="AL3" s="65">
        <f>IFERROR((AJ3-AG3)/ABS(AG3), 0)</f>
        <v/>
      </c>
      <c r="AM3" s="7">
        <f>C3+F3+I3+L3+O3+R3+U3+X3+AA3+AD3+AG3+AJ3</f>
        <v/>
      </c>
      <c r="AN3" s="64">
        <f>AM3/$AM$3</f>
        <v/>
      </c>
      <c r="AO3" s="7" t="n"/>
      <c r="AP3" s="7">
        <f>AM3/12</f>
        <v/>
      </c>
    </row>
    <row r="4">
      <c r="A4" s="9" t="n"/>
      <c r="B4" s="10" t="inlineStr">
        <is>
          <t>Serviços Recorrentes</t>
        </is>
      </c>
      <c r="C4" s="11" t="n">
        <v>1506490.261</v>
      </c>
      <c r="D4" s="66">
        <f>C4/$C$3</f>
        <v/>
      </c>
      <c r="E4" s="12" t="n"/>
      <c r="F4" s="11" t="n">
        <v>1448982.16</v>
      </c>
      <c r="G4" s="66">
        <f>F4/$F$3</f>
        <v/>
      </c>
      <c r="H4" s="67">
        <f>IFERROR((F4-C4)/ABS(C4), 0)</f>
        <v/>
      </c>
      <c r="I4" s="11" t="n">
        <v>1454011.015</v>
      </c>
      <c r="J4" s="66">
        <f>I4/$I$3</f>
        <v/>
      </c>
      <c r="K4" s="67">
        <f>IFERROR((I4-F4)/ABS(F4), 0)</f>
        <v/>
      </c>
      <c r="L4" s="11" t="n">
        <v>1544924.4735</v>
      </c>
      <c r="M4" s="66">
        <f>L4/$L$3</f>
        <v/>
      </c>
      <c r="N4" s="67">
        <f>IFERROR((L4-I4)/ABS(I4), 0)</f>
        <v/>
      </c>
      <c r="O4" s="11" t="n">
        <v>1451945.601</v>
      </c>
      <c r="P4" s="66">
        <f>O4/$O$3</f>
        <v/>
      </c>
      <c r="Q4" s="67">
        <f>IFERROR((O4-L4)/ABS(L4), 0)</f>
        <v/>
      </c>
      <c r="R4" s="11" t="n">
        <v>1503360.9305</v>
      </c>
      <c r="S4" s="66">
        <f>R4/$R$3</f>
        <v/>
      </c>
      <c r="T4" s="67">
        <f>IFERROR((R4-O4)/ABS(O4), 0)</f>
        <v/>
      </c>
      <c r="U4" s="11" t="n">
        <v>1840717.164</v>
      </c>
      <c r="V4" s="66">
        <f>U4/$U$3</f>
        <v/>
      </c>
      <c r="W4" s="67">
        <f>IFERROR((U4-R4)/ABS(R4), 0)</f>
        <v/>
      </c>
      <c r="X4" s="11" t="n">
        <v>1563395.6505</v>
      </c>
      <c r="Y4" s="66">
        <f>X4/$X$3</f>
        <v/>
      </c>
      <c r="Z4" s="67">
        <f>IFERROR((X4-U4)/ABS(U4), 0)</f>
        <v/>
      </c>
      <c r="AA4" s="11" t="n">
        <v>1895351</v>
      </c>
      <c r="AB4" s="66">
        <f>AA4/$AA$3</f>
        <v/>
      </c>
      <c r="AC4" s="67">
        <f>IFERROR((AA4-X4)/ABS(X4), 0)</f>
        <v/>
      </c>
      <c r="AD4" s="11" t="n">
        <v>2084886.1</v>
      </c>
      <c r="AE4" s="66">
        <f>AD4/$AD$3</f>
        <v/>
      </c>
      <c r="AF4" s="67">
        <f>IFERROR((AD4-AA4)/ABS(AA4), 0)</f>
        <v/>
      </c>
      <c r="AG4" s="11" t="n">
        <v>2293374.71</v>
      </c>
      <c r="AH4" s="66">
        <f>AG4/$AG$3</f>
        <v/>
      </c>
      <c r="AI4" s="67">
        <f>IFERROR((AG4-AD4)/ABS(AD4), 0)</f>
        <v/>
      </c>
      <c r="AJ4" s="11" t="n">
        <v>2522712.181000001</v>
      </c>
      <c r="AK4" s="66">
        <f>AJ4/$AJ$3</f>
        <v/>
      </c>
      <c r="AL4" s="67">
        <f>IFERROR((AJ4-AG4)/ABS(AG4), 0)</f>
        <v/>
      </c>
      <c r="AM4" s="11">
        <f>C4+F4+I4+L4+O4+R4+U4+X4+AA4+AD4+AG4+AJ4</f>
        <v/>
      </c>
      <c r="AN4" s="66">
        <f>AM4/$AM$3</f>
        <v/>
      </c>
      <c r="AO4" s="11" t="n"/>
      <c r="AP4" s="11">
        <f>AM4/12</f>
        <v/>
      </c>
    </row>
    <row r="5">
      <c r="A5" s="9" t="n"/>
      <c r="B5" s="10" t="inlineStr">
        <is>
          <t>Serviços Avulsos</t>
        </is>
      </c>
      <c r="C5" s="11" t="n">
        <v>250435.621762</v>
      </c>
      <c r="D5" s="66">
        <f>C5/$C$3</f>
        <v/>
      </c>
      <c r="E5" s="12" t="n"/>
      <c r="F5" s="11" t="n">
        <v>548544.5804640001</v>
      </c>
      <c r="G5" s="66">
        <f>F5/$F$3</f>
        <v/>
      </c>
      <c r="H5" s="67">
        <f>IFERROR((F5-C5)/ABS(C5), 0)</f>
        <v/>
      </c>
      <c r="I5" s="11" t="n">
        <v>758153.208356</v>
      </c>
      <c r="J5" s="66">
        <f>I5/$I$3</f>
        <v/>
      </c>
      <c r="K5" s="67">
        <f>IFERROR((I5-F5)/ABS(F5), 0)</f>
        <v/>
      </c>
      <c r="L5" s="11" t="n">
        <v>327060.758356</v>
      </c>
      <c r="M5" s="66">
        <f>L5/$L$3</f>
        <v/>
      </c>
      <c r="N5" s="67">
        <f>IFERROR((L5-I5)/ABS(I5), 0)</f>
        <v/>
      </c>
      <c r="O5" s="11" t="n">
        <v>1378266.398184</v>
      </c>
      <c r="P5" s="66">
        <f>O5/$O$3</f>
        <v/>
      </c>
      <c r="Q5" s="67">
        <f>IFERROR((O5-L5)/ABS(L5), 0)</f>
        <v/>
      </c>
      <c r="R5" s="11" t="n">
        <v>395882.931832</v>
      </c>
      <c r="S5" s="66">
        <f>R5/$R$3</f>
        <v/>
      </c>
      <c r="T5" s="67">
        <f>IFERROR((R5-O5)/ABS(O5), 0)</f>
        <v/>
      </c>
      <c r="U5" s="11" t="n">
        <v>263303.123608</v>
      </c>
      <c r="V5" s="66">
        <f>U5/$U$3</f>
        <v/>
      </c>
      <c r="W5" s="67">
        <f>IFERROR((U5-R5)/ABS(R5), 0)</f>
        <v/>
      </c>
      <c r="X5" s="11" t="n">
        <v>582114.757394</v>
      </c>
      <c r="Y5" s="66">
        <f>X5/$X$3</f>
        <v/>
      </c>
      <c r="Z5" s="67">
        <f>IFERROR((X5-U5)/ABS(U5), 0)</f>
        <v/>
      </c>
      <c r="AA5" s="11" t="n">
        <v>330873.574892</v>
      </c>
      <c r="AB5" s="66">
        <f>AA5/$AA$3</f>
        <v/>
      </c>
      <c r="AC5" s="67">
        <f>IFERROR((AA5-X5)/ABS(X5), 0)</f>
        <v/>
      </c>
      <c r="AD5" s="11" t="n">
        <v>555430.7245740001</v>
      </c>
      <c r="AE5" s="66">
        <f>AD5/$AD$3</f>
        <v/>
      </c>
      <c r="AF5" s="67">
        <f>IFERROR((AD5-AA5)/ABS(AA5), 0)</f>
        <v/>
      </c>
      <c r="AG5" s="11" t="n">
        <v>571627.6141900001</v>
      </c>
      <c r="AH5" s="66">
        <f>AG5/$AG$3</f>
        <v/>
      </c>
      <c r="AI5" s="67">
        <f>IFERROR((AG5-AD5)/ABS(AD5), 0)</f>
        <v/>
      </c>
      <c r="AJ5" s="11" t="n">
        <v>992817.7295660001</v>
      </c>
      <c r="AK5" s="66">
        <f>AJ5/$AJ$3</f>
        <v/>
      </c>
      <c r="AL5" s="67">
        <f>IFERROR((AJ5-AG5)/ABS(AG5), 0)</f>
        <v/>
      </c>
      <c r="AM5" s="11">
        <f>C5+F5+I5+L5+O5+R5+U5+X5+AA5+AD5+AG5+AJ5</f>
        <v/>
      </c>
      <c r="AN5" s="66">
        <f>AM5/$AM$3</f>
        <v/>
      </c>
      <c r="AO5" s="11" t="n"/>
      <c r="AP5" s="11">
        <f>AM5/12</f>
        <v/>
      </c>
    </row>
    <row r="6">
      <c r="A6" s="9" t="n"/>
      <c r="B6" s="10" t="inlineStr">
        <is>
          <t>Receita da Venda de Mercadorias</t>
        </is>
      </c>
      <c r="C6" s="11" t="n">
        <v>61429.66899999999</v>
      </c>
      <c r="D6" s="66">
        <f>C6/$C$3</f>
        <v/>
      </c>
      <c r="E6" s="12" t="n"/>
      <c r="F6" s="11" t="n">
        <v>95025</v>
      </c>
      <c r="G6" s="66">
        <f>F6/$F$3</f>
        <v/>
      </c>
      <c r="H6" s="67">
        <f>IFERROR((F6-C6)/ABS(C6), 0)</f>
        <v/>
      </c>
      <c r="I6" s="11" t="n">
        <v>136173.366</v>
      </c>
      <c r="J6" s="66">
        <f>I6/$I$3</f>
        <v/>
      </c>
      <c r="K6" s="67">
        <f>IFERROR((I6-F6)/ABS(F6), 0)</f>
        <v/>
      </c>
      <c r="L6" s="11" t="n">
        <v>51998.366</v>
      </c>
      <c r="M6" s="66">
        <f>L6/$L$3</f>
        <v/>
      </c>
      <c r="N6" s="67">
        <f>IFERROR((L6-I6)/ABS(I6), 0)</f>
        <v/>
      </c>
      <c r="O6" s="11" t="n">
        <v>28651.616</v>
      </c>
      <c r="P6" s="66">
        <f>O6/$O$3</f>
        <v/>
      </c>
      <c r="Q6" s="67">
        <f>IFERROR((O6-L6)/ABS(L6), 0)</f>
        <v/>
      </c>
      <c r="R6" s="11" t="n">
        <v>63781.697</v>
      </c>
      <c r="S6" s="66">
        <f>R6/$R$3</f>
        <v/>
      </c>
      <c r="T6" s="67">
        <f>IFERROR((R6-O6)/ABS(O6), 0)</f>
        <v/>
      </c>
      <c r="U6" s="11" t="n">
        <v>46281.697</v>
      </c>
      <c r="V6" s="66">
        <f>U6/$U$3</f>
        <v/>
      </c>
      <c r="W6" s="67">
        <f>IFERROR((U6-R6)/ABS(R6), 0)</f>
        <v/>
      </c>
      <c r="X6" s="11" t="n">
        <v>285448.366</v>
      </c>
      <c r="Y6" s="66">
        <f>X6/$X$3</f>
        <v/>
      </c>
      <c r="Z6" s="67">
        <f>IFERROR((X6-U6)/ABS(U6), 0)</f>
        <v/>
      </c>
      <c r="AA6" s="11" t="n">
        <v>98952.833</v>
      </c>
      <c r="AB6" s="66">
        <f>AA6/$AA$3</f>
        <v/>
      </c>
      <c r="AC6" s="67">
        <f>IFERROR((AA6-X6)/ABS(X6), 0)</f>
        <v/>
      </c>
      <c r="AD6" s="11" t="n">
        <v>50750</v>
      </c>
      <c r="AE6" s="66">
        <f>AD6/$AD$3</f>
        <v/>
      </c>
      <c r="AF6" s="67">
        <f>IFERROR((AD6-AA6)/ABS(AA6), 0)</f>
        <v/>
      </c>
      <c r="AG6" s="11" t="n">
        <v>245000</v>
      </c>
      <c r="AH6" s="66">
        <f>AG6/$AG$3</f>
        <v/>
      </c>
      <c r="AI6" s="67">
        <f>IFERROR((AG6-AD6)/ABS(AD6), 0)</f>
        <v/>
      </c>
      <c r="AJ6" s="11" t="n">
        <v>213822</v>
      </c>
      <c r="AK6" s="66">
        <f>AJ6/$AJ$3</f>
        <v/>
      </c>
      <c r="AL6" s="67">
        <f>IFERROR((AJ6-AG6)/ABS(AG6), 0)</f>
        <v/>
      </c>
      <c r="AM6" s="11">
        <f>C6+F6+I6+L6+O6+R6+U6+X6+AA6+AD6+AG6+AJ6</f>
        <v/>
      </c>
      <c r="AN6" s="66">
        <f>AM6/$AM$3</f>
        <v/>
      </c>
      <c r="AO6" s="11" t="n"/>
      <c r="AP6" s="11">
        <f>AM6/12</f>
        <v/>
      </c>
    </row>
    <row r="7">
      <c r="A7" s="13" t="inlineStr">
        <is>
          <t>(-)</t>
        </is>
      </c>
      <c r="B7" s="14" t="inlineStr">
        <is>
          <t>DEDUÇÕES E ABATIMENTOS</t>
        </is>
      </c>
      <c r="C7" s="15">
        <f>C8+C9</f>
        <v/>
      </c>
      <c r="D7" s="68">
        <f>C7/$C$3</f>
        <v/>
      </c>
      <c r="E7" s="16" t="n"/>
      <c r="F7" s="15">
        <f>F8+F9</f>
        <v/>
      </c>
      <c r="G7" s="68">
        <f>F7/$F$3</f>
        <v/>
      </c>
      <c r="H7" s="69">
        <f>IFERROR((F7-C7)/ABS(C7), 0)</f>
        <v/>
      </c>
      <c r="I7" s="15">
        <f>I8+I9</f>
        <v/>
      </c>
      <c r="J7" s="68">
        <f>I7/$I$3</f>
        <v/>
      </c>
      <c r="K7" s="69">
        <f>IFERROR((I7-F7)/ABS(F7), 0)</f>
        <v/>
      </c>
      <c r="L7" s="15">
        <f>L8+L9</f>
        <v/>
      </c>
      <c r="M7" s="68">
        <f>L7/$L$3</f>
        <v/>
      </c>
      <c r="N7" s="69">
        <f>IFERROR((L7-I7)/ABS(I7), 0)</f>
        <v/>
      </c>
      <c r="O7" s="15">
        <f>O8+O9</f>
        <v/>
      </c>
      <c r="P7" s="68">
        <f>O7/$O$3</f>
        <v/>
      </c>
      <c r="Q7" s="69">
        <f>IFERROR((O7-L7)/ABS(L7), 0)</f>
        <v/>
      </c>
      <c r="R7" s="15">
        <f>R8+R9</f>
        <v/>
      </c>
      <c r="S7" s="68">
        <f>R7/$R$3</f>
        <v/>
      </c>
      <c r="T7" s="69">
        <f>IFERROR((R7-O7)/ABS(O7), 0)</f>
        <v/>
      </c>
      <c r="U7" s="15">
        <f>U8+U9</f>
        <v/>
      </c>
      <c r="V7" s="68">
        <f>U7/$U$3</f>
        <v/>
      </c>
      <c r="W7" s="69">
        <f>IFERROR((U7-R7)/ABS(R7), 0)</f>
        <v/>
      </c>
      <c r="X7" s="15">
        <f>X8+X9</f>
        <v/>
      </c>
      <c r="Y7" s="68">
        <f>X7/$X$3</f>
        <v/>
      </c>
      <c r="Z7" s="69">
        <f>IFERROR((X7-U7)/ABS(U7), 0)</f>
        <v/>
      </c>
      <c r="AA7" s="15">
        <f>AA8+AA9</f>
        <v/>
      </c>
      <c r="AB7" s="68">
        <f>AA7/$AA$3</f>
        <v/>
      </c>
      <c r="AC7" s="69">
        <f>IFERROR((AA7-X7)/ABS(X7), 0)</f>
        <v/>
      </c>
      <c r="AD7" s="15">
        <f>AD8+AD9</f>
        <v/>
      </c>
      <c r="AE7" s="68">
        <f>AD7/$AD$3</f>
        <v/>
      </c>
      <c r="AF7" s="69">
        <f>IFERROR((AD7-AA7)/ABS(AA7), 0)</f>
        <v/>
      </c>
      <c r="AG7" s="15">
        <f>AG8+AG9</f>
        <v/>
      </c>
      <c r="AH7" s="68">
        <f>AG7/$AG$3</f>
        <v/>
      </c>
      <c r="AI7" s="69">
        <f>IFERROR((AG7-AD7)/ABS(AD7), 0)</f>
        <v/>
      </c>
      <c r="AJ7" s="15">
        <f>AJ8+AJ9</f>
        <v/>
      </c>
      <c r="AK7" s="68">
        <f>AJ7/$AJ$3</f>
        <v/>
      </c>
      <c r="AL7" s="69">
        <f>IFERROR((AJ7-AG7)/ABS(AG7), 0)</f>
        <v/>
      </c>
      <c r="AM7" s="15">
        <f>C7+F7+I7+L7+O7+R7+U7+X7+AA7+AD7+AG7+AJ7</f>
        <v/>
      </c>
      <c r="AN7" s="68">
        <f>AM7/$AM$3</f>
        <v/>
      </c>
      <c r="AO7" s="15" t="n"/>
      <c r="AP7" s="15">
        <f>AM7/12</f>
        <v/>
      </c>
    </row>
    <row r="8">
      <c r="A8" s="17" t="n"/>
      <c r="B8" s="18" t="inlineStr">
        <is>
          <t>Impostos sobre vendas</t>
        </is>
      </c>
      <c r="C8" s="19" t="n">
        <v>-27091.05</v>
      </c>
      <c r="D8" s="70">
        <f>C8/$C$3</f>
        <v/>
      </c>
      <c r="E8" s="20" t="n"/>
      <c r="F8" s="19" t="n">
        <v>-33771.47199999999</v>
      </c>
      <c r="G8" s="70">
        <f>F8/$F$3</f>
        <v/>
      </c>
      <c r="H8" s="71">
        <f>IFERROR((F8-C8)/ABS(C8), 0)</f>
        <v/>
      </c>
      <c r="I8" s="19" t="n">
        <v>-42771.01899999999</v>
      </c>
      <c r="J8" s="70">
        <f>I8/$I$3</f>
        <v/>
      </c>
      <c r="K8" s="71">
        <f>IFERROR((I8-F8)/ABS(F8), 0)</f>
        <v/>
      </c>
      <c r="L8" s="19" t="n">
        <v>-29431.311</v>
      </c>
      <c r="M8" s="70">
        <f>L8/$L$3</f>
        <v/>
      </c>
      <c r="N8" s="71">
        <f>IFERROR((L8-I8)/ABS(I8), 0)</f>
        <v/>
      </c>
      <c r="O8" s="19" t="n">
        <v>-24408.716</v>
      </c>
      <c r="P8" s="70">
        <f>O8/$O$3</f>
        <v/>
      </c>
      <c r="Q8" s="71">
        <f>IFERROR((O8-L8)/ABS(L8), 0)</f>
        <v/>
      </c>
      <c r="R8" s="19" t="n">
        <v>-30478.273</v>
      </c>
      <c r="S8" s="70">
        <f>R8/$R$3</f>
        <v/>
      </c>
      <c r="T8" s="71">
        <f>IFERROR((R8-O8)/ABS(O8), 0)</f>
        <v/>
      </c>
      <c r="U8" s="19" t="n">
        <v>-27550.936</v>
      </c>
      <c r="V8" s="70">
        <f>U8/$U$3</f>
        <v/>
      </c>
      <c r="W8" s="71">
        <f>IFERROR((U8-R8)/ABS(R8), 0)</f>
        <v/>
      </c>
      <c r="X8" s="19" t="n">
        <v>-30467.227</v>
      </c>
      <c r="Y8" s="70">
        <f>X8/$X$3</f>
        <v/>
      </c>
      <c r="Z8" s="71">
        <f>IFERROR((X8-U8)/ABS(U8), 0)</f>
        <v/>
      </c>
      <c r="AA8" s="19" t="n">
        <v>-32795.273</v>
      </c>
      <c r="AB8" s="70">
        <f>AA8/$AA$3</f>
        <v/>
      </c>
      <c r="AC8" s="71">
        <f>IFERROR((AA8-X8)/ABS(X8), 0)</f>
        <v/>
      </c>
      <c r="AD8" s="19" t="n">
        <v>-60591.88799999999</v>
      </c>
      <c r="AE8" s="70">
        <f>AD8/$AD$3</f>
        <v/>
      </c>
      <c r="AF8" s="71">
        <f>IFERROR((AD8-AA8)/ABS(AA8), 0)</f>
        <v/>
      </c>
      <c r="AG8" s="19" t="n">
        <v>-34069.14</v>
      </c>
      <c r="AH8" s="70">
        <f>AG8/$AG$3</f>
        <v/>
      </c>
      <c r="AI8" s="71">
        <f>IFERROR((AG8-AD8)/ABS(AD8), 0)</f>
        <v/>
      </c>
      <c r="AJ8" s="19" t="n">
        <v>-36970.717</v>
      </c>
      <c r="AK8" s="70">
        <f>AJ8/$AJ$3</f>
        <v/>
      </c>
      <c r="AL8" s="71">
        <f>IFERROR((AJ8-AG8)/ABS(AG8), 0)</f>
        <v/>
      </c>
      <c r="AM8" s="19">
        <f>C8+F8+I8+L8+O8+R8+U8+X8+AA8+AD8+AG8+AJ8</f>
        <v/>
      </c>
      <c r="AN8" s="70">
        <f>AM8/$AM$3</f>
        <v/>
      </c>
      <c r="AO8" s="19" t="n"/>
      <c r="AP8" s="19">
        <f>AM8/12</f>
        <v/>
      </c>
    </row>
    <row r="9">
      <c r="A9" s="17" t="n"/>
      <c r="B9" s="18" t="inlineStr">
        <is>
          <t>Devoluções</t>
        </is>
      </c>
      <c r="C9" s="19" t="n">
        <v>0</v>
      </c>
      <c r="D9" s="19" t="n"/>
      <c r="E9" s="20" t="n"/>
      <c r="F9" s="19" t="n">
        <v>0</v>
      </c>
      <c r="G9" s="19" t="n"/>
      <c r="H9" s="71">
        <f>IFERROR((F9-C9)/ABS(C9), 0)</f>
        <v/>
      </c>
      <c r="I9" s="19" t="n">
        <v>0</v>
      </c>
      <c r="J9" s="19" t="n"/>
      <c r="K9" s="71">
        <f>IFERROR((I9-F9)/ABS(F9), 0)</f>
        <v/>
      </c>
      <c r="L9" s="19" t="n">
        <v>0</v>
      </c>
      <c r="M9" s="19" t="n"/>
      <c r="N9" s="71">
        <f>IFERROR((L9-I9)/ABS(I9), 0)</f>
        <v/>
      </c>
      <c r="O9" s="19" t="n">
        <v>0</v>
      </c>
      <c r="P9" s="19" t="n"/>
      <c r="Q9" s="71">
        <f>IFERROR((O9-L9)/ABS(L9), 0)</f>
        <v/>
      </c>
      <c r="R9" s="19" t="n">
        <v>0</v>
      </c>
      <c r="S9" s="19" t="n"/>
      <c r="T9" s="71">
        <f>IFERROR((R9-O9)/ABS(O9), 0)</f>
        <v/>
      </c>
      <c r="U9" s="19" t="n">
        <v>0</v>
      </c>
      <c r="V9" s="19" t="n"/>
      <c r="W9" s="71">
        <f>IFERROR((U9-R9)/ABS(R9), 0)</f>
        <v/>
      </c>
      <c r="X9" s="19" t="n">
        <v>0</v>
      </c>
      <c r="Y9" s="19" t="n"/>
      <c r="Z9" s="71">
        <f>IFERROR((X9-U9)/ABS(U9), 0)</f>
        <v/>
      </c>
      <c r="AA9" s="19" t="n">
        <v>0</v>
      </c>
      <c r="AB9" s="19" t="n"/>
      <c r="AC9" s="71">
        <f>IFERROR((AA9-X9)/ABS(X9), 0)</f>
        <v/>
      </c>
      <c r="AD9" s="19" t="n">
        <v>0</v>
      </c>
      <c r="AE9" s="19" t="n"/>
      <c r="AF9" s="71">
        <f>IFERROR((AD9-AA9)/ABS(AA9), 0)</f>
        <v/>
      </c>
      <c r="AG9" s="19" t="n">
        <v>0</v>
      </c>
      <c r="AH9" s="19" t="n"/>
      <c r="AI9" s="71">
        <f>IFERROR((AG9-AD9)/ABS(AD9), 0)</f>
        <v/>
      </c>
      <c r="AJ9" s="19" t="n">
        <v>0</v>
      </c>
      <c r="AK9" s="19" t="n"/>
      <c r="AL9" s="71">
        <f>IFERROR((AJ9-AG9)/ABS(AG9), 0)</f>
        <v/>
      </c>
      <c r="AM9" s="19">
        <f>C9+F9+I9+L9+O9+R9+U9+X9+AA9+AD9+AG9+AJ9</f>
        <v/>
      </c>
      <c r="AN9" s="70">
        <f>AM9/$AM$3</f>
        <v/>
      </c>
      <c r="AO9" s="19" t="n"/>
      <c r="AP9" s="19">
        <f>AM9/12</f>
        <v/>
      </c>
    </row>
    <row r="10">
      <c r="A10" s="21" t="n"/>
      <c r="B10" s="22" t="n"/>
      <c r="C10" s="23" t="n"/>
      <c r="D10" s="23" t="n"/>
      <c r="E10" s="24" t="n"/>
      <c r="F10" s="23" t="n"/>
      <c r="G10" s="23" t="n"/>
      <c r="H10" s="24" t="n"/>
      <c r="I10" s="23" t="n"/>
      <c r="J10" s="23" t="n"/>
      <c r="K10" s="24" t="n"/>
      <c r="L10" s="23" t="n"/>
      <c r="M10" s="23" t="n"/>
      <c r="N10" s="24" t="n"/>
      <c r="O10" s="23" t="n"/>
      <c r="P10" s="23" t="n"/>
      <c r="Q10" s="24" t="n"/>
      <c r="R10" s="23" t="n"/>
      <c r="S10" s="23" t="n"/>
      <c r="T10" s="24" t="n"/>
      <c r="U10" s="23" t="n"/>
      <c r="V10" s="23" t="n"/>
      <c r="W10" s="24" t="n"/>
      <c r="X10" s="23" t="n"/>
      <c r="Y10" s="23" t="n"/>
      <c r="Z10" s="24" t="n"/>
      <c r="AA10" s="23" t="n"/>
      <c r="AB10" s="23" t="n"/>
      <c r="AC10" s="24" t="n"/>
      <c r="AD10" s="23" t="n"/>
      <c r="AE10" s="23" t="n"/>
      <c r="AF10" s="24" t="n"/>
      <c r="AG10" s="23" t="n"/>
      <c r="AH10" s="23" t="n"/>
      <c r="AI10" s="24" t="n"/>
      <c r="AJ10" s="23" t="n"/>
      <c r="AK10" s="23" t="n"/>
      <c r="AL10" s="24" t="n"/>
      <c r="AM10" s="23">
        <f>C10+F10+I10+L10+O10+R10+U10+X10+AA10+AD10+AG10+AJ10</f>
        <v/>
      </c>
      <c r="AN10" s="72">
        <f>AM10/$AM$3</f>
        <v/>
      </c>
      <c r="AO10" s="23" t="n"/>
      <c r="AP10" s="23">
        <f>AM10/12</f>
        <v/>
      </c>
    </row>
    <row r="11">
      <c r="A11" s="25" t="inlineStr">
        <is>
          <t>(=)</t>
        </is>
      </c>
      <c r="B11" s="26" t="inlineStr">
        <is>
          <t>RECEITA LIQUIDA</t>
        </is>
      </c>
      <c r="C11" s="27">
        <f>C3+C7</f>
        <v/>
      </c>
      <c r="D11" s="73">
        <f>C11/$C$3</f>
        <v/>
      </c>
      <c r="E11" s="28" t="n"/>
      <c r="F11" s="27">
        <f>F3+F7</f>
        <v/>
      </c>
      <c r="G11" s="73">
        <f>F11/$F$3</f>
        <v/>
      </c>
      <c r="H11" s="74">
        <f>IFERROR((F11-C11)/ABS(C11), 0)</f>
        <v/>
      </c>
      <c r="I11" s="27">
        <f>I3+I7</f>
        <v/>
      </c>
      <c r="J11" s="73">
        <f>I11/$I$3</f>
        <v/>
      </c>
      <c r="K11" s="74">
        <f>IFERROR((I11-F11)/ABS(F11), 0)</f>
        <v/>
      </c>
      <c r="L11" s="27">
        <f>L3+L7</f>
        <v/>
      </c>
      <c r="M11" s="73">
        <f>L11/$L$3</f>
        <v/>
      </c>
      <c r="N11" s="74">
        <f>IFERROR((L11-I11)/ABS(I11), 0)</f>
        <v/>
      </c>
      <c r="O11" s="27">
        <f>O3+O7</f>
        <v/>
      </c>
      <c r="P11" s="73">
        <f>O11/$O$3</f>
        <v/>
      </c>
      <c r="Q11" s="74">
        <f>IFERROR((O11-L11)/ABS(L11), 0)</f>
        <v/>
      </c>
      <c r="R11" s="27">
        <f>R3+R7</f>
        <v/>
      </c>
      <c r="S11" s="73">
        <f>R11/$R$3</f>
        <v/>
      </c>
      <c r="T11" s="74">
        <f>IFERROR((R11-O11)/ABS(O11), 0)</f>
        <v/>
      </c>
      <c r="U11" s="27">
        <f>U3+U7</f>
        <v/>
      </c>
      <c r="V11" s="73">
        <f>U11/$U$3</f>
        <v/>
      </c>
      <c r="W11" s="74">
        <f>IFERROR((U11-R11)/ABS(R11), 0)</f>
        <v/>
      </c>
      <c r="X11" s="27">
        <f>X3+X7</f>
        <v/>
      </c>
      <c r="Y11" s="73">
        <f>X11/$X$3</f>
        <v/>
      </c>
      <c r="Z11" s="74">
        <f>IFERROR((X11-U11)/ABS(U11), 0)</f>
        <v/>
      </c>
      <c r="AA11" s="27">
        <f>AA3+AA7</f>
        <v/>
      </c>
      <c r="AB11" s="73">
        <f>AA11/$AA$3</f>
        <v/>
      </c>
      <c r="AC11" s="74">
        <f>IFERROR((AA11-X11)/ABS(X11), 0)</f>
        <v/>
      </c>
      <c r="AD11" s="27">
        <f>AD3+AD7</f>
        <v/>
      </c>
      <c r="AE11" s="73">
        <f>AD11/$AD$3</f>
        <v/>
      </c>
      <c r="AF11" s="74">
        <f>IFERROR((AD11-AA11)/ABS(AA11), 0)</f>
        <v/>
      </c>
      <c r="AG11" s="27">
        <f>AG3+AG7</f>
        <v/>
      </c>
      <c r="AH11" s="73">
        <f>AG11/$AG$3</f>
        <v/>
      </c>
      <c r="AI11" s="74">
        <f>IFERROR((AG11-AD11)/ABS(AD11), 0)</f>
        <v/>
      </c>
      <c r="AJ11" s="27">
        <f>AJ3+AJ7</f>
        <v/>
      </c>
      <c r="AK11" s="73">
        <f>AJ11/$AJ$3</f>
        <v/>
      </c>
      <c r="AL11" s="74">
        <f>IFERROR((AJ11-AG11)/ABS(AG11), 0)</f>
        <v/>
      </c>
      <c r="AM11" s="27">
        <f>C11+F11+I11+L11+O11+R11+U11+X11+AA11+AD11+AG11+AJ11</f>
        <v/>
      </c>
      <c r="AN11" s="73">
        <f>AM11/$AM$3</f>
        <v/>
      </c>
      <c r="AO11" s="27" t="n"/>
      <c r="AP11" s="27">
        <f>AM11/12</f>
        <v/>
      </c>
    </row>
    <row r="12">
      <c r="A12" s="21" t="n"/>
      <c r="B12" s="22" t="n"/>
      <c r="C12" s="75" t="n"/>
      <c r="D12" s="75" t="n"/>
      <c r="E12" s="24" t="n"/>
      <c r="F12" s="23" t="n"/>
      <c r="G12" s="23" t="n"/>
      <c r="H12" s="24" t="n"/>
      <c r="I12" s="23" t="n"/>
      <c r="J12" s="23" t="n"/>
      <c r="K12" s="24" t="n"/>
      <c r="L12" s="23" t="n"/>
      <c r="M12" s="23" t="n"/>
      <c r="N12" s="24" t="n"/>
      <c r="O12" s="23" t="n"/>
      <c r="P12" s="23" t="n"/>
      <c r="Q12" s="24" t="n"/>
      <c r="R12" s="23" t="n"/>
      <c r="S12" s="23" t="n"/>
      <c r="T12" s="24" t="n"/>
      <c r="U12" s="23" t="n"/>
      <c r="V12" s="23" t="n"/>
      <c r="W12" s="24" t="n"/>
      <c r="X12" s="23" t="n"/>
      <c r="Y12" s="23" t="n"/>
      <c r="Z12" s="24" t="n"/>
      <c r="AA12" s="23" t="n"/>
      <c r="AB12" s="23" t="n"/>
      <c r="AC12" s="24" t="n"/>
      <c r="AD12" s="23" t="n"/>
      <c r="AE12" s="23" t="n"/>
      <c r="AF12" s="24" t="n"/>
      <c r="AG12" s="23" t="n"/>
      <c r="AH12" s="23" t="n"/>
      <c r="AI12" s="24" t="n"/>
      <c r="AJ12" s="23" t="n"/>
      <c r="AK12" s="23" t="n"/>
      <c r="AL12" s="24" t="n"/>
      <c r="AM12" s="23">
        <f>C12+F12+I12+L12+O12+R12+U12+X12+AA12+AD12+AG12+AJ12</f>
        <v/>
      </c>
      <c r="AN12" s="72">
        <f>AM12/$AM$3</f>
        <v/>
      </c>
      <c r="AO12" s="23" t="n"/>
      <c r="AP12" s="23">
        <f>AM12/12</f>
        <v/>
      </c>
    </row>
    <row r="13">
      <c r="A13" s="13" t="inlineStr">
        <is>
          <t>(-)</t>
        </is>
      </c>
      <c r="B13" s="14" t="inlineStr">
        <is>
          <t>CUSTO VARIÁVEL</t>
        </is>
      </c>
      <c r="C13" s="15">
        <f>C14+C15+C16+C17</f>
        <v/>
      </c>
      <c r="D13" s="68">
        <f>C13/$C$3</f>
        <v/>
      </c>
      <c r="E13" s="16" t="n"/>
      <c r="F13" s="15">
        <f>F14+F15+F16+F17</f>
        <v/>
      </c>
      <c r="G13" s="68">
        <f>F13/$F$3</f>
        <v/>
      </c>
      <c r="H13" s="69">
        <f>IFERROR((F13-C13)/ABS(C13), 0)</f>
        <v/>
      </c>
      <c r="I13" s="15">
        <f>I14+I15+I16+I17</f>
        <v/>
      </c>
      <c r="J13" s="68">
        <f>I13/$I$3</f>
        <v/>
      </c>
      <c r="K13" s="69">
        <f>IFERROR((I13-F13)/ABS(F13), 0)</f>
        <v/>
      </c>
      <c r="L13" s="15">
        <f>L14+L15+L16+L17</f>
        <v/>
      </c>
      <c r="M13" s="68">
        <f>L13/$L$3</f>
        <v/>
      </c>
      <c r="N13" s="69">
        <f>IFERROR((L13-I13)/ABS(I13), 0)</f>
        <v/>
      </c>
      <c r="O13" s="15">
        <f>O14+O15+O16+O17</f>
        <v/>
      </c>
      <c r="P13" s="68">
        <f>O13/$O$3</f>
        <v/>
      </c>
      <c r="Q13" s="69">
        <f>IFERROR((O13-L13)/ABS(L13), 0)</f>
        <v/>
      </c>
      <c r="R13" s="15">
        <f>R14+R15+R16+R17</f>
        <v/>
      </c>
      <c r="S13" s="68">
        <f>R13/$R$3</f>
        <v/>
      </c>
      <c r="T13" s="69">
        <f>IFERROR((R13-O13)/ABS(O13), 0)</f>
        <v/>
      </c>
      <c r="U13" s="15">
        <f>U14+U15+U16+U17</f>
        <v/>
      </c>
      <c r="V13" s="68">
        <f>U13/$U$3</f>
        <v/>
      </c>
      <c r="W13" s="69">
        <f>IFERROR((U13-R13)/ABS(R13), 0)</f>
        <v/>
      </c>
      <c r="X13" s="15">
        <f>X14+X15+X16+X17</f>
        <v/>
      </c>
      <c r="Y13" s="68">
        <f>X13/$X$3</f>
        <v/>
      </c>
      <c r="Z13" s="69">
        <f>IFERROR((X13-U13)/ABS(U13), 0)</f>
        <v/>
      </c>
      <c r="AA13" s="15">
        <f>AA14+AA15+AA16+AA17</f>
        <v/>
      </c>
      <c r="AB13" s="68">
        <f>AA13/$AA$3</f>
        <v/>
      </c>
      <c r="AC13" s="69">
        <f>IFERROR((AA13-X13)/ABS(X13), 0)</f>
        <v/>
      </c>
      <c r="AD13" s="15">
        <f>AD14+AD15+AD16+AD17</f>
        <v/>
      </c>
      <c r="AE13" s="68">
        <f>AD13/$AD$3</f>
        <v/>
      </c>
      <c r="AF13" s="69">
        <f>IFERROR((AD13-AA13)/ABS(AA13), 0)</f>
        <v/>
      </c>
      <c r="AG13" s="15">
        <f>AG14+AG15+AG16+AG17</f>
        <v/>
      </c>
      <c r="AH13" s="68">
        <f>AG13/$AG$3</f>
        <v/>
      </c>
      <c r="AI13" s="69">
        <f>IFERROR((AG13-AD13)/ABS(AD13), 0)</f>
        <v/>
      </c>
      <c r="AJ13" s="15">
        <f>AJ14+AJ15+AJ16+AJ17</f>
        <v/>
      </c>
      <c r="AK13" s="68">
        <f>AJ13/$AJ$3</f>
        <v/>
      </c>
      <c r="AL13" s="69">
        <f>IFERROR((AJ13-AG13)/ABS(AG13), 0)</f>
        <v/>
      </c>
      <c r="AM13" s="15">
        <f>C13+F13+I13+L13+O13+R13+U13+X13+AA13+AD13+AG13+AJ13</f>
        <v/>
      </c>
      <c r="AN13" s="68">
        <f>AM13/$AM$3</f>
        <v/>
      </c>
      <c r="AO13" s="15" t="n"/>
      <c r="AP13" s="15">
        <f>AM13/12</f>
        <v/>
      </c>
    </row>
    <row r="14">
      <c r="A14" s="17" t="n"/>
      <c r="B14" s="18" t="inlineStr">
        <is>
          <t>Insumos</t>
        </is>
      </c>
      <c r="C14" s="19" t="n">
        <v>-1054646.22002196</v>
      </c>
      <c r="D14" s="70">
        <f>C14/$C$3</f>
        <v/>
      </c>
      <c r="E14" s="20" t="n"/>
      <c r="F14" s="19" t="n">
        <v>-1360158.6313016</v>
      </c>
      <c r="G14" s="70">
        <f>F14/$F$3</f>
        <v/>
      </c>
      <c r="H14" s="71">
        <f>IFERROR((F14-C14)/ABS(C14), 0)</f>
        <v/>
      </c>
      <c r="I14" s="19" t="n">
        <v>-1432485.92950716</v>
      </c>
      <c r="J14" s="70">
        <f>I14/$I$3</f>
        <v/>
      </c>
      <c r="K14" s="71">
        <f>IFERROR((I14-F14)/ABS(F14), 0)</f>
        <v/>
      </c>
      <c r="L14" s="19" t="n">
        <v>-1154390.1587136</v>
      </c>
      <c r="M14" s="70">
        <f>L14/$L$3</f>
        <v/>
      </c>
      <c r="N14" s="71">
        <f>IFERROR((L14-I14)/ABS(I14), 0)</f>
        <v/>
      </c>
      <c r="O14" s="19" t="n">
        <v>-1715318.1691104</v>
      </c>
      <c r="P14" s="70">
        <f>O14/$O$3</f>
        <v/>
      </c>
      <c r="Q14" s="71">
        <f>IFERROR((O14-L14)/ABS(L14), 0)</f>
        <v/>
      </c>
      <c r="R14" s="19" t="n">
        <v>-1177815.3355992</v>
      </c>
      <c r="S14" s="70">
        <f>R14/$R$3</f>
        <v/>
      </c>
      <c r="T14" s="71">
        <f>IFERROR((R14-O14)/ABS(O14), 0)</f>
        <v/>
      </c>
      <c r="U14" s="19" t="n">
        <v>-1118157.03199616</v>
      </c>
      <c r="V14" s="70">
        <f>U14/$U$3</f>
        <v/>
      </c>
      <c r="W14" s="71">
        <f>IFERROR((U14-R14)/ABS(R14), 0)</f>
        <v/>
      </c>
      <c r="X14" s="19" t="n">
        <v>-1215479.386947</v>
      </c>
      <c r="Y14" s="70">
        <f>X14/$X$3</f>
        <v/>
      </c>
      <c r="Z14" s="71">
        <f>IFERROR((X14-U14)/ABS(U14), 0)</f>
        <v/>
      </c>
      <c r="AA14" s="19" t="n">
        <v>-1162588.703946</v>
      </c>
      <c r="AB14" s="70">
        <f>AA14/$AA$3</f>
        <v/>
      </c>
      <c r="AC14" s="71">
        <f>IFERROR((AA14-X14)/ABS(X14), 0)</f>
        <v/>
      </c>
      <c r="AD14" s="19" t="n">
        <v>-1345533.412287</v>
      </c>
      <c r="AE14" s="70">
        <f>AD14/$AD$3</f>
        <v/>
      </c>
      <c r="AF14" s="71">
        <f>IFERROR((AD14-AA14)/ABS(AA14), 0)</f>
        <v/>
      </c>
      <c r="AG14" s="19" t="n">
        <v>-1555001.162095</v>
      </c>
      <c r="AH14" s="70">
        <f>AG14/$AG$3</f>
        <v/>
      </c>
      <c r="AI14" s="71">
        <f>IFERROR((AG14-AD14)/ABS(AD14), 0)</f>
        <v/>
      </c>
      <c r="AJ14" s="19" t="n">
        <v>-1864675.955283</v>
      </c>
      <c r="AK14" s="70">
        <f>AJ14/$AJ$3</f>
        <v/>
      </c>
      <c r="AL14" s="71">
        <f>IFERROR((AJ14-AG14)/ABS(AG14), 0)</f>
        <v/>
      </c>
      <c r="AM14" s="19">
        <f>C14+F14+I14+L14+O14+R14+U14+X14+AA14+AD14+AG14+AJ14</f>
        <v/>
      </c>
      <c r="AN14" s="70">
        <f>AM14/$AM$3</f>
        <v/>
      </c>
      <c r="AO14" s="19" t="n"/>
      <c r="AP14" s="19">
        <f>AM14/12</f>
        <v/>
      </c>
    </row>
    <row r="15">
      <c r="A15" s="17" t="n"/>
      <c r="B15" s="18" t="inlineStr">
        <is>
          <t>Embalagem</t>
        </is>
      </c>
      <c r="C15" s="19" t="n">
        <v>-25899.54603438395</v>
      </c>
      <c r="D15" s="70">
        <f>C15/$C$3</f>
        <v/>
      </c>
      <c r="E15" s="20" t="n"/>
      <c r="F15" s="19" t="n">
        <v>-24910.86808022922</v>
      </c>
      <c r="G15" s="70">
        <f>F15/$F$3</f>
        <v/>
      </c>
      <c r="H15" s="71">
        <f>IFERROR((F15-C15)/ABS(C15), 0)</f>
        <v/>
      </c>
      <c r="I15" s="19" t="n">
        <v>-24997.32404011461</v>
      </c>
      <c r="J15" s="70">
        <f>I15/$I$3</f>
        <v/>
      </c>
      <c r="K15" s="71">
        <f>IFERROR((I15-F15)/ABS(F15), 0)</f>
        <v/>
      </c>
      <c r="L15" s="19" t="n">
        <v>-26560.30613467049</v>
      </c>
      <c r="M15" s="70">
        <f>L15/$L$3</f>
        <v/>
      </c>
      <c r="N15" s="71">
        <f>IFERROR((L15-I15)/ABS(I15), 0)</f>
        <v/>
      </c>
      <c r="O15" s="19" t="n">
        <v>-24961.81548997134</v>
      </c>
      <c r="P15" s="70">
        <f>O15/$O$3</f>
        <v/>
      </c>
      <c r="Q15" s="71">
        <f>IFERROR((O15-L15)/ABS(L15), 0)</f>
        <v/>
      </c>
      <c r="R15" s="19" t="n">
        <v>-25845.74665616046</v>
      </c>
      <c r="S15" s="70">
        <f>R15/$R$3</f>
        <v/>
      </c>
      <c r="T15" s="71">
        <f>IFERROR((R15-O15)/ABS(O15), 0)</f>
        <v/>
      </c>
      <c r="U15" s="19" t="n">
        <v>-31645.56728939828</v>
      </c>
      <c r="V15" s="70">
        <f>U15/$U$3</f>
        <v/>
      </c>
      <c r="W15" s="71">
        <f>IFERROR((U15-R15)/ABS(R15), 0)</f>
        <v/>
      </c>
      <c r="X15" s="19" t="n">
        <v>-26877.86218624642</v>
      </c>
      <c r="Y15" s="70">
        <f>X15/$X$3</f>
        <v/>
      </c>
      <c r="Z15" s="71">
        <f>IFERROR((X15-U15)/ABS(U15), 0)</f>
        <v/>
      </c>
      <c r="AA15" s="19" t="n">
        <v>-32584.83094555874</v>
      </c>
      <c r="AB15" s="70">
        <f>AA15/$AA$3</f>
        <v/>
      </c>
      <c r="AC15" s="71">
        <f>IFERROR((AA15-X15)/ABS(X15), 0)</f>
        <v/>
      </c>
      <c r="AD15" s="19" t="n">
        <v>-35843.31404011461</v>
      </c>
      <c r="AE15" s="70">
        <f>AD15/$AD$3</f>
        <v/>
      </c>
      <c r="AF15" s="71">
        <f>IFERROR((AD15-AA15)/ABS(AA15), 0)</f>
        <v/>
      </c>
      <c r="AG15" s="19" t="n">
        <v>-39427.64544412608</v>
      </c>
      <c r="AH15" s="70">
        <f>AG15/$AG$3</f>
        <v/>
      </c>
      <c r="AI15" s="71">
        <f>IFERROR((AG15-AD15)/ABS(AD15), 0)</f>
        <v/>
      </c>
      <c r="AJ15" s="19" t="n">
        <v>-43370.40998853869</v>
      </c>
      <c r="AK15" s="70">
        <f>AJ15/$AJ$3</f>
        <v/>
      </c>
      <c r="AL15" s="71">
        <f>IFERROR((AJ15-AG15)/ABS(AG15), 0)</f>
        <v/>
      </c>
      <c r="AM15" s="19">
        <f>C15+F15+I15+L15+O15+R15+U15+X15+AA15+AD15+AG15+AJ15</f>
        <v/>
      </c>
      <c r="AN15" s="70">
        <f>AM15/$AM$3</f>
        <v/>
      </c>
      <c r="AO15" s="19" t="n"/>
      <c r="AP15" s="19">
        <f>AM15/12</f>
        <v/>
      </c>
    </row>
    <row r="16">
      <c r="A16" s="17" t="n"/>
      <c r="B16" s="18" t="inlineStr">
        <is>
          <t>Frete</t>
        </is>
      </c>
      <c r="C16" s="19" t="n">
        <v>-90389.41566000001</v>
      </c>
      <c r="D16" s="70">
        <f>C16/$C$3</f>
        <v/>
      </c>
      <c r="E16" s="20" t="n"/>
      <c r="F16" s="19" t="n">
        <v>-86938.92959999999</v>
      </c>
      <c r="G16" s="70">
        <f>F16/$F$3</f>
        <v/>
      </c>
      <c r="H16" s="71">
        <f>IFERROR((F16-C16)/ABS(C16), 0)</f>
        <v/>
      </c>
      <c r="I16" s="19" t="n">
        <v>-87240.6609</v>
      </c>
      <c r="J16" s="70">
        <f>I16/$I$3</f>
        <v/>
      </c>
      <c r="K16" s="71">
        <f>IFERROR((I16-F16)/ABS(F16), 0)</f>
        <v/>
      </c>
      <c r="L16" s="19" t="n">
        <v>-92695.46841</v>
      </c>
      <c r="M16" s="70">
        <f>L16/$L$3</f>
        <v/>
      </c>
      <c r="N16" s="71">
        <f>IFERROR((L16-I16)/ABS(I16), 0)</f>
        <v/>
      </c>
      <c r="O16" s="19" t="n">
        <v>-87116.73606</v>
      </c>
      <c r="P16" s="70">
        <f>O16/$O$3</f>
        <v/>
      </c>
      <c r="Q16" s="71">
        <f>IFERROR((O16-L16)/ABS(L16), 0)</f>
        <v/>
      </c>
      <c r="R16" s="19" t="n">
        <v>-90201.65583</v>
      </c>
      <c r="S16" s="70">
        <f>R16/$R$3</f>
        <v/>
      </c>
      <c r="T16" s="71">
        <f>IFERROR((R16-O16)/ABS(O16), 0)</f>
        <v/>
      </c>
      <c r="U16" s="19" t="n">
        <v>-110443.02984</v>
      </c>
      <c r="V16" s="70">
        <f>U16/$U$3</f>
        <v/>
      </c>
      <c r="W16" s="71">
        <f>IFERROR((U16-R16)/ABS(R16), 0)</f>
        <v/>
      </c>
      <c r="X16" s="19" t="n">
        <v>-93803.73903</v>
      </c>
      <c r="Y16" s="70">
        <f>X16/$X$3</f>
        <v/>
      </c>
      <c r="Z16" s="71">
        <f>IFERROR((X16-U16)/ABS(U16), 0)</f>
        <v/>
      </c>
      <c r="AA16" s="19" t="n">
        <v>-113721.06</v>
      </c>
      <c r="AB16" s="70">
        <f>AA16/$AA$3</f>
        <v/>
      </c>
      <c r="AC16" s="71">
        <f>IFERROR((AA16-X16)/ABS(X16), 0)</f>
        <v/>
      </c>
      <c r="AD16" s="19" t="n">
        <v>-125093.166</v>
      </c>
      <c r="AE16" s="70">
        <f>AD16/$AD$3</f>
        <v/>
      </c>
      <c r="AF16" s="71">
        <f>IFERROR((AD16-AA16)/ABS(AA16), 0)</f>
        <v/>
      </c>
      <c r="AG16" s="19" t="n">
        <v>-137602.4826</v>
      </c>
      <c r="AH16" s="70">
        <f>AG16/$AG$3</f>
        <v/>
      </c>
      <c r="AI16" s="71">
        <f>IFERROR((AG16-AD16)/ABS(AD16), 0)</f>
        <v/>
      </c>
      <c r="AJ16" s="19" t="n">
        <v>-151362.73086</v>
      </c>
      <c r="AK16" s="70">
        <f>AJ16/$AJ$3</f>
        <v/>
      </c>
      <c r="AL16" s="71">
        <f>IFERROR((AJ16-AG16)/ABS(AG16), 0)</f>
        <v/>
      </c>
      <c r="AM16" s="19">
        <f>C16+F16+I16+L16+O16+R16+U16+X16+AA16+AD16+AG16+AJ16</f>
        <v/>
      </c>
      <c r="AN16" s="70">
        <f>AM16/$AM$3</f>
        <v/>
      </c>
      <c r="AO16" s="19" t="n"/>
      <c r="AP16" s="19">
        <f>AM16/12</f>
        <v/>
      </c>
    </row>
    <row r="17">
      <c r="A17" s="17" t="n"/>
      <c r="B17" s="18" t="inlineStr">
        <is>
          <t>Custo do produto vendidos (CMV)</t>
        </is>
      </c>
      <c r="C17" s="19" t="n">
        <v>-43001</v>
      </c>
      <c r="D17" s="70">
        <f>C17/$C$3</f>
        <v/>
      </c>
      <c r="E17" s="20" t="n"/>
      <c r="F17" s="19" t="n">
        <v>-66518</v>
      </c>
      <c r="G17" s="70">
        <f>F17/$F$3</f>
        <v/>
      </c>
      <c r="H17" s="71">
        <f>IFERROR((F17-C17)/ABS(C17), 0)</f>
        <v/>
      </c>
      <c r="I17" s="19" t="n">
        <v>-95321</v>
      </c>
      <c r="J17" s="70">
        <f>I17/$I$3</f>
        <v/>
      </c>
      <c r="K17" s="71">
        <f>IFERROR((I17-F17)/ABS(F17), 0)</f>
        <v/>
      </c>
      <c r="L17" s="19" t="n">
        <v>-36399</v>
      </c>
      <c r="M17" s="70">
        <f>L17/$L$3</f>
        <v/>
      </c>
      <c r="N17" s="71">
        <f>IFERROR((L17-I17)/ABS(I17), 0)</f>
        <v/>
      </c>
      <c r="O17" s="19" t="n">
        <v>-20056</v>
      </c>
      <c r="P17" s="70">
        <f>O17/$O$3</f>
        <v/>
      </c>
      <c r="Q17" s="71">
        <f>IFERROR((O17-L17)/ABS(L17), 0)</f>
        <v/>
      </c>
      <c r="R17" s="19" t="n">
        <v>-44647</v>
      </c>
      <c r="S17" s="70">
        <f>R17/$R$3</f>
        <v/>
      </c>
      <c r="T17" s="71">
        <f>IFERROR((R17-O17)/ABS(O17), 0)</f>
        <v/>
      </c>
      <c r="U17" s="19" t="n">
        <v>-32397</v>
      </c>
      <c r="V17" s="70">
        <f>U17/$U$3</f>
        <v/>
      </c>
      <c r="W17" s="71">
        <f>IFERROR((U17-R17)/ABS(R17), 0)</f>
        <v/>
      </c>
      <c r="X17" s="19" t="n">
        <v>-199814</v>
      </c>
      <c r="Y17" s="70">
        <f>X17/$X$3</f>
        <v/>
      </c>
      <c r="Z17" s="71">
        <f>IFERROR((X17-U17)/ABS(U17), 0)</f>
        <v/>
      </c>
      <c r="AA17" s="19" t="n">
        <v>-69267</v>
      </c>
      <c r="AB17" s="70">
        <f>AA17/$AA$3</f>
        <v/>
      </c>
      <c r="AC17" s="71">
        <f>IFERROR((AA17-X17)/ABS(X17), 0)</f>
        <v/>
      </c>
      <c r="AD17" s="19" t="n">
        <v>-35525</v>
      </c>
      <c r="AE17" s="70">
        <f>AD17/$AD$3</f>
        <v/>
      </c>
      <c r="AF17" s="71">
        <f>IFERROR((AD17-AA17)/ABS(AA17), 0)</f>
        <v/>
      </c>
      <c r="AG17" s="19" t="n">
        <v>-171500</v>
      </c>
      <c r="AH17" s="70">
        <f>AG17/$AG$3</f>
        <v/>
      </c>
      <c r="AI17" s="71">
        <f>IFERROR((AG17-AD17)/ABS(AD17), 0)</f>
        <v/>
      </c>
      <c r="AJ17" s="19" t="n">
        <v>-149675</v>
      </c>
      <c r="AK17" s="70">
        <f>AJ17/$AJ$3</f>
        <v/>
      </c>
      <c r="AL17" s="71">
        <f>IFERROR((AJ17-AG17)/ABS(AG17), 0)</f>
        <v/>
      </c>
      <c r="AM17" s="19">
        <f>C17+F17+I17+L17+O17+R17+U17+X17+AA17+AD17+AG17+AJ17</f>
        <v/>
      </c>
      <c r="AN17" s="70">
        <f>AM17/$AM$3</f>
        <v/>
      </c>
      <c r="AO17" s="19" t="n"/>
      <c r="AP17" s="19">
        <f>AM17/12</f>
        <v/>
      </c>
    </row>
    <row r="18">
      <c r="A18" s="21" t="n"/>
      <c r="B18" s="22" t="n"/>
      <c r="C18" s="23" t="n"/>
      <c r="D18" s="23" t="n"/>
      <c r="E18" s="24" t="n"/>
      <c r="F18" s="23" t="n"/>
      <c r="G18" s="23" t="n"/>
      <c r="H18" s="24" t="n"/>
      <c r="I18" s="23" t="n"/>
      <c r="J18" s="23" t="n"/>
      <c r="K18" s="24" t="n"/>
      <c r="L18" s="23" t="n"/>
      <c r="M18" s="23" t="n"/>
      <c r="N18" s="24" t="n"/>
      <c r="O18" s="23" t="n"/>
      <c r="P18" s="23" t="n"/>
      <c r="Q18" s="24" t="n"/>
      <c r="R18" s="23" t="n"/>
      <c r="S18" s="23" t="n"/>
      <c r="T18" s="24" t="n"/>
      <c r="U18" s="23" t="n"/>
      <c r="V18" s="23" t="n"/>
      <c r="W18" s="24" t="n"/>
      <c r="X18" s="23" t="n"/>
      <c r="Y18" s="23" t="n"/>
      <c r="Z18" s="24" t="n"/>
      <c r="AA18" s="23" t="n"/>
      <c r="AB18" s="23" t="n"/>
      <c r="AC18" s="24" t="n"/>
      <c r="AD18" s="23" t="n"/>
      <c r="AE18" s="23" t="n"/>
      <c r="AF18" s="24" t="n"/>
      <c r="AG18" s="23" t="n"/>
      <c r="AH18" s="23" t="n"/>
      <c r="AI18" s="24" t="n"/>
      <c r="AJ18" s="23" t="n"/>
      <c r="AK18" s="23" t="n"/>
      <c r="AL18" s="24" t="n"/>
      <c r="AM18" s="23">
        <f>C18+F18+I18+L18+O18+R18+U18+X18+AA18+AD18+AG18+AJ18</f>
        <v/>
      </c>
      <c r="AN18" s="72">
        <f>AM18/$AM$3</f>
        <v/>
      </c>
      <c r="AO18" s="23" t="n"/>
      <c r="AP18" s="23">
        <f>AM18/12</f>
        <v/>
      </c>
    </row>
    <row r="19">
      <c r="A19" s="25" t="inlineStr">
        <is>
          <t>(=)</t>
        </is>
      </c>
      <c r="B19" s="26" t="inlineStr">
        <is>
          <t>MARGEM DE CONTRIBUIÇÃO</t>
        </is>
      </c>
      <c r="C19" s="27">
        <f>C11+C13</f>
        <v/>
      </c>
      <c r="D19" s="73">
        <f>C19/$C$3</f>
        <v/>
      </c>
      <c r="E19" s="28" t="n"/>
      <c r="F19" s="27">
        <f>F11+F13</f>
        <v/>
      </c>
      <c r="G19" s="73">
        <f>F19/$F$3</f>
        <v/>
      </c>
      <c r="H19" s="74">
        <f>IFERROR((F19-C19)/ABS(C19), 0)</f>
        <v/>
      </c>
      <c r="I19" s="27">
        <f>I11+I13</f>
        <v/>
      </c>
      <c r="J19" s="73">
        <f>I19/$I$3</f>
        <v/>
      </c>
      <c r="K19" s="74">
        <f>IFERROR((I19-F19)/ABS(F19), 0)</f>
        <v/>
      </c>
      <c r="L19" s="27">
        <f>L11+L13</f>
        <v/>
      </c>
      <c r="M19" s="73">
        <f>L19/$L$3</f>
        <v/>
      </c>
      <c r="N19" s="74">
        <f>IFERROR((L19-I19)/ABS(I19), 0)</f>
        <v/>
      </c>
      <c r="O19" s="27">
        <f>O11+O13</f>
        <v/>
      </c>
      <c r="P19" s="73">
        <f>O19/$O$3</f>
        <v/>
      </c>
      <c r="Q19" s="74">
        <f>IFERROR((O19-L19)/ABS(L19), 0)</f>
        <v/>
      </c>
      <c r="R19" s="27">
        <f>R11+R13</f>
        <v/>
      </c>
      <c r="S19" s="73">
        <f>R19/$R$3</f>
        <v/>
      </c>
      <c r="T19" s="74">
        <f>IFERROR((R19-O19)/ABS(O19), 0)</f>
        <v/>
      </c>
      <c r="U19" s="27">
        <f>U11+U13</f>
        <v/>
      </c>
      <c r="V19" s="73">
        <f>U19/$U$3</f>
        <v/>
      </c>
      <c r="W19" s="74">
        <f>IFERROR((U19-R19)/ABS(R19), 0)</f>
        <v/>
      </c>
      <c r="X19" s="27">
        <f>X11+X13</f>
        <v/>
      </c>
      <c r="Y19" s="73">
        <f>X19/$X$3</f>
        <v/>
      </c>
      <c r="Z19" s="74">
        <f>IFERROR((X19-U19)/ABS(U19), 0)</f>
        <v/>
      </c>
      <c r="AA19" s="27">
        <f>AA11+AA13</f>
        <v/>
      </c>
      <c r="AB19" s="73">
        <f>AA19/$AA$3</f>
        <v/>
      </c>
      <c r="AC19" s="74">
        <f>IFERROR((AA19-X19)/ABS(X19), 0)</f>
        <v/>
      </c>
      <c r="AD19" s="27">
        <f>AD11+AD13</f>
        <v/>
      </c>
      <c r="AE19" s="73">
        <f>AD19/$AD$3</f>
        <v/>
      </c>
      <c r="AF19" s="74">
        <f>IFERROR((AD19-AA19)/ABS(AA19), 0)</f>
        <v/>
      </c>
      <c r="AG19" s="27">
        <f>AG11+AG13</f>
        <v/>
      </c>
      <c r="AH19" s="73">
        <f>AG19/$AG$3</f>
        <v/>
      </c>
      <c r="AI19" s="74">
        <f>IFERROR((AG19-AD19)/ABS(AD19), 0)</f>
        <v/>
      </c>
      <c r="AJ19" s="27">
        <f>AJ11+AJ13</f>
        <v/>
      </c>
      <c r="AK19" s="73">
        <f>AJ19/$AJ$3</f>
        <v/>
      </c>
      <c r="AL19" s="74">
        <f>IFERROR((AJ19-AG19)/ABS(AG19), 0)</f>
        <v/>
      </c>
      <c r="AM19" s="27">
        <f>C19+F19+I19+L19+O19+R19+U19+X19+AA19+AD19+AG19+AJ19</f>
        <v/>
      </c>
      <c r="AN19" s="73">
        <f>AM19/$AM$3</f>
        <v/>
      </c>
      <c r="AO19" s="27" t="n"/>
      <c r="AP19" s="27">
        <f>AM19/12</f>
        <v/>
      </c>
    </row>
    <row r="20">
      <c r="A20" s="21" t="n"/>
      <c r="B20" s="22" t="n"/>
      <c r="C20" s="23" t="n"/>
      <c r="D20" s="23" t="n"/>
      <c r="E20" s="24" t="n"/>
      <c r="F20" s="23" t="n"/>
      <c r="G20" s="23" t="n"/>
      <c r="H20" s="24" t="n"/>
      <c r="I20" s="23" t="n"/>
      <c r="J20" s="23" t="n"/>
      <c r="K20" s="24" t="n"/>
      <c r="L20" s="23" t="n"/>
      <c r="M20" s="23" t="n"/>
      <c r="N20" s="24" t="n"/>
      <c r="O20" s="23" t="n"/>
      <c r="P20" s="23" t="n"/>
      <c r="Q20" s="24" t="n"/>
      <c r="R20" s="23" t="n"/>
      <c r="S20" s="23" t="n"/>
      <c r="T20" s="24" t="n"/>
      <c r="U20" s="23" t="n"/>
      <c r="V20" s="23" t="n"/>
      <c r="W20" s="24" t="n"/>
      <c r="X20" s="23" t="n"/>
      <c r="Y20" s="23" t="n"/>
      <c r="Z20" s="24" t="n"/>
      <c r="AA20" s="23" t="n"/>
      <c r="AB20" s="23" t="n"/>
      <c r="AC20" s="24" t="n"/>
      <c r="AD20" s="23" t="n"/>
      <c r="AE20" s="23" t="n"/>
      <c r="AF20" s="24" t="n"/>
      <c r="AG20" s="23" t="n"/>
      <c r="AH20" s="23" t="n"/>
      <c r="AI20" s="24" t="n"/>
      <c r="AJ20" s="23" t="n"/>
      <c r="AK20" s="23" t="n"/>
      <c r="AL20" s="24" t="n"/>
      <c r="AM20" s="23">
        <f>C20+F20+I20+L20+O20+R20+U20+X20+AA20+AD20+AG20+AJ20</f>
        <v/>
      </c>
      <c r="AN20" s="72">
        <f>AM20/$AM$3</f>
        <v/>
      </c>
      <c r="AO20" s="23" t="n"/>
      <c r="AP20" s="23">
        <f>AM20/12</f>
        <v/>
      </c>
    </row>
    <row r="21">
      <c r="A21" s="13" t="inlineStr">
        <is>
          <t>(-)</t>
        </is>
      </c>
      <c r="B21" s="14" t="inlineStr">
        <is>
          <t>DESPESAS</t>
        </is>
      </c>
      <c r="C21" s="15">
        <f>C22+C27+C32+C37</f>
        <v/>
      </c>
      <c r="D21" s="68">
        <f>C21/$C$3</f>
        <v/>
      </c>
      <c r="E21" s="16" t="n"/>
      <c r="F21" s="15">
        <f>F22+F27+F32+F37</f>
        <v/>
      </c>
      <c r="G21" s="68">
        <f>F21/$F$3</f>
        <v/>
      </c>
      <c r="H21" s="69">
        <f>IFERROR((F21-C21)/ABS(C21), 0)</f>
        <v/>
      </c>
      <c r="I21" s="15">
        <f>I22+I27+I32+I37</f>
        <v/>
      </c>
      <c r="J21" s="68">
        <f>I21/$I$3</f>
        <v/>
      </c>
      <c r="K21" s="69">
        <f>IFERROR((I21-F21)/ABS(F21), 0)</f>
        <v/>
      </c>
      <c r="L21" s="15">
        <f>L22+L27+L32+L37</f>
        <v/>
      </c>
      <c r="M21" s="68">
        <f>L21/$L$3</f>
        <v/>
      </c>
      <c r="N21" s="69">
        <f>IFERROR((L21-I21)/ABS(I21), 0)</f>
        <v/>
      </c>
      <c r="O21" s="15">
        <f>O22+O27+O32+O37</f>
        <v/>
      </c>
      <c r="P21" s="68">
        <f>O21/$O$3</f>
        <v/>
      </c>
      <c r="Q21" s="69">
        <f>IFERROR((O21-L21)/ABS(L21), 0)</f>
        <v/>
      </c>
      <c r="R21" s="15">
        <f>R22+R27+R32+R37</f>
        <v/>
      </c>
      <c r="S21" s="68">
        <f>R21/$R$3</f>
        <v/>
      </c>
      <c r="T21" s="69">
        <f>IFERROR((R21-O21)/ABS(O21), 0)</f>
        <v/>
      </c>
      <c r="U21" s="15">
        <f>U22+U27+U32+U37</f>
        <v/>
      </c>
      <c r="V21" s="68">
        <f>U21/$U$3</f>
        <v/>
      </c>
      <c r="W21" s="69">
        <f>IFERROR((U21-R21)/ABS(R21), 0)</f>
        <v/>
      </c>
      <c r="X21" s="15">
        <f>X22+X27+X32+X37</f>
        <v/>
      </c>
      <c r="Y21" s="68">
        <f>X21/$X$3</f>
        <v/>
      </c>
      <c r="Z21" s="69">
        <f>IFERROR((X21-U21)/ABS(U21), 0)</f>
        <v/>
      </c>
      <c r="AA21" s="15">
        <f>AA22+AA27+AA32+AA37</f>
        <v/>
      </c>
      <c r="AB21" s="68">
        <f>AA21/$AA$3</f>
        <v/>
      </c>
      <c r="AC21" s="69">
        <f>IFERROR((AA21-X21)/ABS(X21), 0)</f>
        <v/>
      </c>
      <c r="AD21" s="15">
        <f>AD22+AD27+AD32+AD37</f>
        <v/>
      </c>
      <c r="AE21" s="68">
        <f>AD21/$AD$3</f>
        <v/>
      </c>
      <c r="AF21" s="69">
        <f>IFERROR((AD21-AA21)/ABS(AA21), 0)</f>
        <v/>
      </c>
      <c r="AG21" s="15">
        <f>AG22+AG27+AG32+AG37</f>
        <v/>
      </c>
      <c r="AH21" s="68">
        <f>AG21/$AG$3</f>
        <v/>
      </c>
      <c r="AI21" s="69">
        <f>IFERROR((AG21-AD21)/ABS(AD21), 0)</f>
        <v/>
      </c>
      <c r="AJ21" s="15">
        <f>AJ22+AJ27+AJ32+AJ37</f>
        <v/>
      </c>
      <c r="AK21" s="68">
        <f>AJ21/$AJ$3</f>
        <v/>
      </c>
      <c r="AL21" s="69">
        <f>IFERROR((AJ21-AG21)/ABS(AG21), 0)</f>
        <v/>
      </c>
      <c r="AM21" s="15">
        <f>C21+F21+I21+L21+O21+R21+U21+X21+AA21+AD21+AG21+AJ21</f>
        <v/>
      </c>
      <c r="AN21" s="68">
        <f>AM21/$AM$3</f>
        <v/>
      </c>
      <c r="AO21" s="15" t="n"/>
      <c r="AP21" s="15">
        <f>AM21/12</f>
        <v/>
      </c>
    </row>
    <row r="22">
      <c r="A22" s="17" t="n"/>
      <c r="B22" s="18" t="inlineStr">
        <is>
          <t>Despesas com Pessoal</t>
        </is>
      </c>
      <c r="C22" s="19">
        <f>C23+C24+C25+C26</f>
        <v/>
      </c>
      <c r="D22" s="70">
        <f>C22/$C$3</f>
        <v/>
      </c>
      <c r="E22" s="20" t="n"/>
      <c r="F22" s="19">
        <f>F23+F24+F25+F26</f>
        <v/>
      </c>
      <c r="G22" s="70">
        <f>F22/$F$3</f>
        <v/>
      </c>
      <c r="H22" s="71">
        <f>IFERROR((F22-C22)/ABS(C22), 0)</f>
        <v/>
      </c>
      <c r="I22" s="19">
        <f>I23+I24+I25+I26</f>
        <v/>
      </c>
      <c r="J22" s="70">
        <f>I22/$I$3</f>
        <v/>
      </c>
      <c r="K22" s="71">
        <f>IFERROR((I22-F22)/ABS(F22), 0)</f>
        <v/>
      </c>
      <c r="L22" s="19">
        <f>L23+L24+L25+L26</f>
        <v/>
      </c>
      <c r="M22" s="70">
        <f>L22/$L$3</f>
        <v/>
      </c>
      <c r="N22" s="71">
        <f>IFERROR((L22-I22)/ABS(I22), 0)</f>
        <v/>
      </c>
      <c r="O22" s="19">
        <f>O23+O24+O25+O26</f>
        <v/>
      </c>
      <c r="P22" s="70">
        <f>O22/$O$3</f>
        <v/>
      </c>
      <c r="Q22" s="71">
        <f>IFERROR((O22-L22)/ABS(L22), 0)</f>
        <v/>
      </c>
      <c r="R22" s="19">
        <f>R23+R24+R25+R26</f>
        <v/>
      </c>
      <c r="S22" s="70">
        <f>R22/$R$3</f>
        <v/>
      </c>
      <c r="T22" s="71">
        <f>IFERROR((R22-O22)/ABS(O22), 0)</f>
        <v/>
      </c>
      <c r="U22" s="19">
        <f>U23+U24+U25+U26</f>
        <v/>
      </c>
      <c r="V22" s="70">
        <f>U22/$U$3</f>
        <v/>
      </c>
      <c r="W22" s="71">
        <f>IFERROR((U22-R22)/ABS(R22), 0)</f>
        <v/>
      </c>
      <c r="X22" s="19">
        <f>X23+X24+X25+X26</f>
        <v/>
      </c>
      <c r="Y22" s="70">
        <f>X22/$X$3</f>
        <v/>
      </c>
      <c r="Z22" s="71">
        <f>IFERROR((X22-U22)/ABS(U22), 0)</f>
        <v/>
      </c>
      <c r="AA22" s="19">
        <f>AA23+AA24+AA25+AA26</f>
        <v/>
      </c>
      <c r="AB22" s="70">
        <f>AA22/$AA$3</f>
        <v/>
      </c>
      <c r="AC22" s="71">
        <f>IFERROR((AA22-X22)/ABS(X22), 0)</f>
        <v/>
      </c>
      <c r="AD22" s="19">
        <f>AD23+AD24+AD25+AD26</f>
        <v/>
      </c>
      <c r="AE22" s="70">
        <f>AD22/$AD$3</f>
        <v/>
      </c>
      <c r="AF22" s="71">
        <f>IFERROR((AD22-AA22)/ABS(AA22), 0)</f>
        <v/>
      </c>
      <c r="AG22" s="19">
        <f>AG23+AG24+AG25+AG26</f>
        <v/>
      </c>
      <c r="AH22" s="70">
        <f>AG22/$AG$3</f>
        <v/>
      </c>
      <c r="AI22" s="71">
        <f>IFERROR((AG22-AD22)/ABS(AD22), 0)</f>
        <v/>
      </c>
      <c r="AJ22" s="19">
        <f>AJ23+AJ24+AJ25+AJ26</f>
        <v/>
      </c>
      <c r="AK22" s="70">
        <f>AJ22/$AJ$3</f>
        <v/>
      </c>
      <c r="AL22" s="71">
        <f>IFERROR((AJ22-AG22)/ABS(AG22), 0)</f>
        <v/>
      </c>
      <c r="AM22" s="19">
        <f>C22+F22+I22+L22+O22+R22+U22+X22+AA22+AD22+AG22+AJ22</f>
        <v/>
      </c>
      <c r="AN22" s="70">
        <f>AM22/$AM$3</f>
        <v/>
      </c>
      <c r="AO22" s="19" t="n"/>
      <c r="AP22" s="19">
        <f>AM22/12</f>
        <v/>
      </c>
    </row>
    <row r="23">
      <c r="A23" s="30" t="n"/>
      <c r="B23" s="31" t="inlineStr">
        <is>
          <t>Salários</t>
        </is>
      </c>
      <c r="C23" s="32" t="n">
        <v>-305784.1377</v>
      </c>
      <c r="D23" s="76">
        <f>C23/$C$3</f>
        <v/>
      </c>
      <c r="E23" s="33" t="n"/>
      <c r="F23" s="32" t="n">
        <v>-291718.7802</v>
      </c>
      <c r="G23" s="76">
        <f>F23/$F$3</f>
        <v/>
      </c>
      <c r="H23" s="77">
        <f>IFERROR((F23-C23)/ABS(C23), 0)</f>
        <v/>
      </c>
      <c r="I23" s="32" t="n">
        <v>-327874.3965</v>
      </c>
      <c r="J23" s="76">
        <f>I23/$I$3</f>
        <v/>
      </c>
      <c r="K23" s="77">
        <f>IFERROR((I23-F23)/ABS(F23), 0)</f>
        <v/>
      </c>
      <c r="L23" s="32" t="n">
        <v>-329968.5453</v>
      </c>
      <c r="M23" s="76">
        <f>L23/$L$3</f>
        <v/>
      </c>
      <c r="N23" s="77">
        <f>IFERROR((L23-I23)/ABS(I23), 0)</f>
        <v/>
      </c>
      <c r="O23" s="32" t="n">
        <v>-309732.7698</v>
      </c>
      <c r="P23" s="76">
        <f>O23/$O$3</f>
        <v/>
      </c>
      <c r="Q23" s="77">
        <f>IFERROR((O23-L23)/ABS(L23), 0)</f>
        <v/>
      </c>
      <c r="R23" s="32" t="n">
        <v>-308375.6124</v>
      </c>
      <c r="S23" s="76">
        <f>R23/$R$3</f>
        <v/>
      </c>
      <c r="T23" s="77">
        <f>IFERROR((R23-O23)/ABS(O23), 0)</f>
        <v/>
      </c>
      <c r="U23" s="32" t="n">
        <v>-306093.4212</v>
      </c>
      <c r="V23" s="76">
        <f>U23/$U$3</f>
        <v/>
      </c>
      <c r="W23" s="77">
        <f>IFERROR((U23-R23)/ABS(R23), 0)</f>
        <v/>
      </c>
      <c r="X23" s="32" t="n">
        <v>-310492.4916</v>
      </c>
      <c r="Y23" s="76">
        <f>X23/$X$3</f>
        <v/>
      </c>
      <c r="Z23" s="77">
        <f>IFERROR((X23-U23)/ABS(U23), 0)</f>
        <v/>
      </c>
      <c r="AA23" s="32" t="n">
        <v>-294004.9812</v>
      </c>
      <c r="AB23" s="76">
        <f>AA23/$AA$3</f>
        <v/>
      </c>
      <c r="AC23" s="77">
        <f>IFERROR((AA23-X23)/ABS(X23), 0)</f>
        <v/>
      </c>
      <c r="AD23" s="32" t="n">
        <v>-297770.6385</v>
      </c>
      <c r="AE23" s="76">
        <f>AD23/$AD$3</f>
        <v/>
      </c>
      <c r="AF23" s="77">
        <f>IFERROR((AD23-AA23)/ABS(AA23), 0)</f>
        <v/>
      </c>
      <c r="AG23" s="32" t="n">
        <v>-345569.974</v>
      </c>
      <c r="AH23" s="76">
        <f>AG23/$AG$3</f>
        <v/>
      </c>
      <c r="AI23" s="77">
        <f>IFERROR((AG23-AD23)/ABS(AD23), 0)</f>
        <v/>
      </c>
      <c r="AJ23" s="32" t="n">
        <v>-366885.9616</v>
      </c>
      <c r="AK23" s="76">
        <f>AJ23/$AJ$3</f>
        <v/>
      </c>
      <c r="AL23" s="77">
        <f>IFERROR((AJ23-AG23)/ABS(AG23), 0)</f>
        <v/>
      </c>
      <c r="AM23" s="32">
        <f>C23+F23+I23+L23+O23+R23+U23+X23+AA23+AD23+AG23+AJ23</f>
        <v/>
      </c>
      <c r="AN23" s="76">
        <f>AM23/$AM$3</f>
        <v/>
      </c>
      <c r="AO23" s="32" t="n"/>
      <c r="AP23" s="32">
        <f>AM23/12</f>
        <v/>
      </c>
    </row>
    <row r="24">
      <c r="A24" s="30" t="n"/>
      <c r="B24" s="31" t="inlineStr">
        <is>
          <t>Encargos</t>
        </is>
      </c>
      <c r="C24" s="32" t="n">
        <v>-97495.6902</v>
      </c>
      <c r="D24" s="76">
        <f>C24/$C$3</f>
        <v/>
      </c>
      <c r="E24" s="33" t="n"/>
      <c r="F24" s="32" t="n">
        <v>-86817.5958</v>
      </c>
      <c r="G24" s="76">
        <f>F24/$F$3</f>
        <v/>
      </c>
      <c r="H24" s="77">
        <f>IFERROR((F24-C24)/ABS(C24), 0)</f>
        <v/>
      </c>
      <c r="I24" s="32" t="n">
        <v>-89965.9278</v>
      </c>
      <c r="J24" s="76">
        <f>I24/$I$3</f>
        <v/>
      </c>
      <c r="K24" s="77">
        <f>IFERROR((I24-F24)/ABS(F24), 0)</f>
        <v/>
      </c>
      <c r="L24" s="32" t="n">
        <v>-91086.64260000001</v>
      </c>
      <c r="M24" s="76">
        <f>L24/$L$3</f>
        <v/>
      </c>
      <c r="N24" s="77">
        <f>IFERROR((L24-I24)/ABS(I24), 0)</f>
        <v/>
      </c>
      <c r="O24" s="32" t="n">
        <v>-92358.2154</v>
      </c>
      <c r="P24" s="76">
        <f>O24/$O$3</f>
        <v/>
      </c>
      <c r="Q24" s="77">
        <f>IFERROR((O24-L24)/ABS(L24), 0)</f>
        <v/>
      </c>
      <c r="R24" s="32" t="n">
        <v>-90015.72420000001</v>
      </c>
      <c r="S24" s="76">
        <f>R24/$R$3</f>
        <v/>
      </c>
      <c r="T24" s="77">
        <f>IFERROR((R24-O24)/ABS(O24), 0)</f>
        <v/>
      </c>
      <c r="U24" s="32" t="n">
        <v>-84950.35320000001</v>
      </c>
      <c r="V24" s="76">
        <f>U24/$U$3</f>
        <v/>
      </c>
      <c r="W24" s="77">
        <f>IFERROR((U24-R24)/ABS(R24), 0)</f>
        <v/>
      </c>
      <c r="X24" s="32" t="n">
        <v>-84372.87</v>
      </c>
      <c r="Y24" s="76">
        <f>X24/$X$3</f>
        <v/>
      </c>
      <c r="Z24" s="77">
        <f>IFERROR((X24-U24)/ABS(U24), 0)</f>
        <v/>
      </c>
      <c r="AA24" s="32" t="n">
        <v>-85945.33260000001</v>
      </c>
      <c r="AB24" s="76">
        <f>AA24/$AA$3</f>
        <v/>
      </c>
      <c r="AC24" s="77">
        <f>IFERROR((AA24-X24)/ABS(X24), 0)</f>
        <v/>
      </c>
      <c r="AD24" s="32" t="n">
        <v>-84816.8046</v>
      </c>
      <c r="AE24" s="76">
        <f>AD24/$AD$3</f>
        <v/>
      </c>
      <c r="AF24" s="77">
        <f>IFERROR((AD24-AA24)/ABS(AA24), 0)</f>
        <v/>
      </c>
      <c r="AG24" s="32" t="n">
        <v>-94068.6048</v>
      </c>
      <c r="AH24" s="76">
        <f>AG24/$AG$3</f>
        <v/>
      </c>
      <c r="AI24" s="77">
        <f>IFERROR((AG24-AD24)/ABS(AD24), 0)</f>
        <v/>
      </c>
      <c r="AJ24" s="32" t="n">
        <v>-150687.4752</v>
      </c>
      <c r="AK24" s="76">
        <f>AJ24/$AJ$3</f>
        <v/>
      </c>
      <c r="AL24" s="77">
        <f>IFERROR((AJ24-AG24)/ABS(AG24), 0)</f>
        <v/>
      </c>
      <c r="AM24" s="32">
        <f>C24+F24+I24+L24+O24+R24+U24+X24+AA24+AD24+AG24+AJ24</f>
        <v/>
      </c>
      <c r="AN24" s="76">
        <f>AM24/$AM$3</f>
        <v/>
      </c>
      <c r="AO24" s="32" t="n"/>
      <c r="AP24" s="32">
        <f>AM24/12</f>
        <v/>
      </c>
    </row>
    <row r="25">
      <c r="A25" s="30" t="n"/>
      <c r="B25" s="31" t="inlineStr">
        <is>
          <t>Benefícios</t>
        </is>
      </c>
      <c r="C25" s="32" t="n">
        <v>-182345.78</v>
      </c>
      <c r="D25" s="76">
        <f>C25/$C$3</f>
        <v/>
      </c>
      <c r="E25" s="33" t="n"/>
      <c r="F25" s="32" t="n">
        <v>-156529.39</v>
      </c>
      <c r="G25" s="76">
        <f>F25/$F$3</f>
        <v/>
      </c>
      <c r="H25" s="77">
        <f>IFERROR((F25-C25)/ABS(C25), 0)</f>
        <v/>
      </c>
      <c r="I25" s="32" t="n">
        <v>-162070.48</v>
      </c>
      <c r="J25" s="76">
        <f>I25/$I$3</f>
        <v/>
      </c>
      <c r="K25" s="77">
        <f>IFERROR((I25-F25)/ABS(F25), 0)</f>
        <v/>
      </c>
      <c r="L25" s="32" t="n">
        <v>-175042.73</v>
      </c>
      <c r="M25" s="76">
        <f>L25/$L$3</f>
        <v/>
      </c>
      <c r="N25" s="77">
        <f>IFERROR((L25-I25)/ABS(I25), 0)</f>
        <v/>
      </c>
      <c r="O25" s="32" t="n">
        <v>-167324.11</v>
      </c>
      <c r="P25" s="76">
        <f>O25/$O$3</f>
        <v/>
      </c>
      <c r="Q25" s="77">
        <f>IFERROR((O25-L25)/ABS(L25), 0)</f>
        <v/>
      </c>
      <c r="R25" s="32" t="n">
        <v>-167927.13</v>
      </c>
      <c r="S25" s="76">
        <f>R25/$R$3</f>
        <v/>
      </c>
      <c r="T25" s="77">
        <f>IFERROR((R25-O25)/ABS(O25), 0)</f>
        <v/>
      </c>
      <c r="U25" s="32" t="n">
        <v>-155931.32</v>
      </c>
      <c r="V25" s="76">
        <f>U25/$U$3</f>
        <v/>
      </c>
      <c r="W25" s="77">
        <f>IFERROR((U25-R25)/ABS(R25), 0)</f>
        <v/>
      </c>
      <c r="X25" s="32" t="n">
        <v>-158353.7</v>
      </c>
      <c r="Y25" s="76">
        <f>X25/$X$3</f>
        <v/>
      </c>
      <c r="Z25" s="77">
        <f>IFERROR((X25-U25)/ABS(U25), 0)</f>
        <v/>
      </c>
      <c r="AA25" s="32" t="n">
        <v>-179043.02</v>
      </c>
      <c r="AB25" s="76">
        <f>AA25/$AA$3</f>
        <v/>
      </c>
      <c r="AC25" s="77">
        <f>IFERROR((AA25-X25)/ABS(X25), 0)</f>
        <v/>
      </c>
      <c r="AD25" s="32" t="n">
        <v>-182919.4</v>
      </c>
      <c r="AE25" s="76">
        <f>AD25/$AD$3</f>
        <v/>
      </c>
      <c r="AF25" s="77">
        <f>IFERROR((AD25-AA25)/ABS(AA25), 0)</f>
        <v/>
      </c>
      <c r="AG25" s="32" t="n">
        <v>-165875.7975</v>
      </c>
      <c r="AH25" s="76">
        <f>AG25/$AG$3</f>
        <v/>
      </c>
      <c r="AI25" s="77">
        <f>IFERROR((AG25-AD25)/ABS(AD25), 0)</f>
        <v/>
      </c>
      <c r="AJ25" s="32" t="n">
        <v>-287687.6244</v>
      </c>
      <c r="AK25" s="76">
        <f>AJ25/$AJ$3</f>
        <v/>
      </c>
      <c r="AL25" s="77">
        <f>IFERROR((AJ25-AG25)/ABS(AG25), 0)</f>
        <v/>
      </c>
      <c r="AM25" s="32">
        <f>C25+F25+I25+L25+O25+R25+U25+X25+AA25+AD25+AG25+AJ25</f>
        <v/>
      </c>
      <c r="AN25" s="76">
        <f>AM25/$AM$3</f>
        <v/>
      </c>
      <c r="AO25" s="32" t="n"/>
      <c r="AP25" s="32">
        <f>AM25/12</f>
        <v/>
      </c>
    </row>
    <row r="26">
      <c r="A26" s="30" t="n"/>
      <c r="B26" s="31" t="inlineStr">
        <is>
          <t>Adicionais</t>
        </is>
      </c>
      <c r="C26" s="32" t="n">
        <v>-19936.1008</v>
      </c>
      <c r="D26" s="76">
        <f>C26/$C$3</f>
        <v/>
      </c>
      <c r="E26" s="33" t="n"/>
      <c r="F26" s="32" t="n">
        <v>-83676.124</v>
      </c>
      <c r="G26" s="76">
        <f>F26/$F$3</f>
        <v/>
      </c>
      <c r="H26" s="77">
        <f>IFERROR((F26-C26)/ABS(C26), 0)</f>
        <v/>
      </c>
      <c r="I26" s="32" t="n">
        <v>-5553.3464</v>
      </c>
      <c r="J26" s="76">
        <f>I26/$I$3</f>
        <v/>
      </c>
      <c r="K26" s="77">
        <f>IFERROR((I26-F26)/ABS(F26), 0)</f>
        <v/>
      </c>
      <c r="L26" s="32" t="n">
        <v>-881.9313999999999</v>
      </c>
      <c r="M26" s="76">
        <f>L26/$L$3</f>
        <v/>
      </c>
      <c r="N26" s="77">
        <f>IFERROR((L26-I26)/ABS(I26), 0)</f>
        <v/>
      </c>
      <c r="O26" s="32" t="n">
        <v>-14199.4454</v>
      </c>
      <c r="P26" s="76">
        <f>O26/$O$3</f>
        <v/>
      </c>
      <c r="Q26" s="77">
        <f>IFERROR((O26-L26)/ABS(L26), 0)</f>
        <v/>
      </c>
      <c r="R26" s="32" t="n">
        <v>-15481.55</v>
      </c>
      <c r="S26" s="76">
        <f>R26/$R$3</f>
        <v/>
      </c>
      <c r="T26" s="77">
        <f>IFERROR((R26-O26)/ABS(O26), 0)</f>
        <v/>
      </c>
      <c r="U26" s="32" t="n">
        <v>-2177.3738</v>
      </c>
      <c r="V26" s="76">
        <f>U26/$U$3</f>
        <v/>
      </c>
      <c r="W26" s="77">
        <f>IFERROR((U26-R26)/ABS(R26), 0)</f>
        <v/>
      </c>
      <c r="X26" s="32" t="n">
        <v>-23390.0422</v>
      </c>
      <c r="Y26" s="76">
        <f>X26/$X$3</f>
        <v/>
      </c>
      <c r="Z26" s="77">
        <f>IFERROR((X26-U26)/ABS(U26), 0)</f>
        <v/>
      </c>
      <c r="AA26" s="32" t="n">
        <v>-11594.478</v>
      </c>
      <c r="AB26" s="76">
        <f>AA26/$AA$3</f>
        <v/>
      </c>
      <c r="AC26" s="77">
        <f>IFERROR((AA26-X26)/ABS(X26), 0)</f>
        <v/>
      </c>
      <c r="AD26" s="32" t="n">
        <v>-30351.0214</v>
      </c>
      <c r="AE26" s="76">
        <f>AD26/$AD$3</f>
        <v/>
      </c>
      <c r="AF26" s="77">
        <f>IFERROR((AD26-AA26)/ABS(AA26), 0)</f>
        <v/>
      </c>
      <c r="AG26" s="32" t="n">
        <v>0</v>
      </c>
      <c r="AH26" s="32" t="n"/>
      <c r="AI26" s="77">
        <f>IFERROR((AG26-AD26)/ABS(AD26), 0)</f>
        <v/>
      </c>
      <c r="AJ26" s="32" t="n">
        <v>0</v>
      </c>
      <c r="AK26" s="32" t="n"/>
      <c r="AL26" s="77">
        <f>IFERROR((AJ26-AG26)/ABS(AG26), 0)</f>
        <v/>
      </c>
      <c r="AM26" s="32">
        <f>C26+F26+I26+L26+O26+R26+U26+X26+AA26+AD26+AG26+AJ26</f>
        <v/>
      </c>
      <c r="AN26" s="76">
        <f>AM26/$AM$3</f>
        <v/>
      </c>
      <c r="AO26" s="32" t="n"/>
      <c r="AP26" s="32">
        <f>AM26/12</f>
        <v/>
      </c>
    </row>
    <row r="27">
      <c r="A27" s="17" t="n"/>
      <c r="B27" s="18" t="inlineStr">
        <is>
          <t>Despesas Estruturais</t>
        </is>
      </c>
      <c r="C27" s="19">
        <f>C28+C29+C30</f>
        <v/>
      </c>
      <c r="D27" s="70">
        <f>C27/$C$3</f>
        <v/>
      </c>
      <c r="E27" s="20" t="n"/>
      <c r="F27" s="19">
        <f>F28+F29+F30</f>
        <v/>
      </c>
      <c r="G27" s="70">
        <f>F27/$F$3</f>
        <v/>
      </c>
      <c r="H27" s="71">
        <f>IFERROR((F27-C27)/ABS(C27), 0)</f>
        <v/>
      </c>
      <c r="I27" s="19">
        <f>I28+I29+I30</f>
        <v/>
      </c>
      <c r="J27" s="70">
        <f>I27/$I$3</f>
        <v/>
      </c>
      <c r="K27" s="71">
        <f>IFERROR((I27-F27)/ABS(F27), 0)</f>
        <v/>
      </c>
      <c r="L27" s="19">
        <f>L28+L29+L30</f>
        <v/>
      </c>
      <c r="M27" s="70">
        <f>L27/$L$3</f>
        <v/>
      </c>
      <c r="N27" s="71">
        <f>IFERROR((L27-I27)/ABS(I27), 0)</f>
        <v/>
      </c>
      <c r="O27" s="19">
        <f>O28+O29+O30</f>
        <v/>
      </c>
      <c r="P27" s="70">
        <f>O27/$O$3</f>
        <v/>
      </c>
      <c r="Q27" s="71">
        <f>IFERROR((O27-L27)/ABS(L27), 0)</f>
        <v/>
      </c>
      <c r="R27" s="19">
        <f>R28+R29+R30</f>
        <v/>
      </c>
      <c r="S27" s="70">
        <f>R27/$R$3</f>
        <v/>
      </c>
      <c r="T27" s="71">
        <f>IFERROR((R27-O27)/ABS(O27), 0)</f>
        <v/>
      </c>
      <c r="U27" s="19">
        <f>U28+U29+U30</f>
        <v/>
      </c>
      <c r="V27" s="70">
        <f>U27/$U$3</f>
        <v/>
      </c>
      <c r="W27" s="71">
        <f>IFERROR((U27-R27)/ABS(R27), 0)</f>
        <v/>
      </c>
      <c r="X27" s="19">
        <f>X28+X29+X30</f>
        <v/>
      </c>
      <c r="Y27" s="70">
        <f>X27/$X$3</f>
        <v/>
      </c>
      <c r="Z27" s="71">
        <f>IFERROR((X27-U27)/ABS(U27), 0)</f>
        <v/>
      </c>
      <c r="AA27" s="19">
        <f>AA28+AA29+AA30</f>
        <v/>
      </c>
      <c r="AB27" s="70">
        <f>AA27/$AA$3</f>
        <v/>
      </c>
      <c r="AC27" s="71">
        <f>IFERROR((AA27-X27)/ABS(X27), 0)</f>
        <v/>
      </c>
      <c r="AD27" s="19">
        <f>AD28+AD29+AD30</f>
        <v/>
      </c>
      <c r="AE27" s="70">
        <f>AD27/$AD$3</f>
        <v/>
      </c>
      <c r="AF27" s="71">
        <f>IFERROR((AD27-AA27)/ABS(AA27), 0)</f>
        <v/>
      </c>
      <c r="AG27" s="19">
        <f>AG28+AG29+AG30</f>
        <v/>
      </c>
      <c r="AH27" s="70">
        <f>AG27/$AG$3</f>
        <v/>
      </c>
      <c r="AI27" s="71">
        <f>IFERROR((AG27-AD27)/ABS(AD27), 0)</f>
        <v/>
      </c>
      <c r="AJ27" s="19">
        <f>AJ28+AJ29+AJ30</f>
        <v/>
      </c>
      <c r="AK27" s="70">
        <f>AJ27/$AJ$3</f>
        <v/>
      </c>
      <c r="AL27" s="71">
        <f>IFERROR((AJ27-AG27)/ABS(AG27), 0)</f>
        <v/>
      </c>
      <c r="AM27" s="19">
        <f>C27+F27+I27+L27+O27+R27+U27+X27+AA27+AD27+AG27+AJ27</f>
        <v/>
      </c>
      <c r="AN27" s="70">
        <f>AM27/$AM$3</f>
        <v/>
      </c>
      <c r="AO27" s="19" t="n"/>
      <c r="AP27" s="19">
        <f>AM27/12</f>
        <v/>
      </c>
    </row>
    <row r="28">
      <c r="A28" s="30" t="n"/>
      <c r="B28" s="31" t="inlineStr">
        <is>
          <t>Aluguel e condominio</t>
        </is>
      </c>
      <c r="C28" s="32" t="n">
        <v>-12658</v>
      </c>
      <c r="D28" s="76">
        <f>C28/$C$3</f>
        <v/>
      </c>
      <c r="E28" s="33" t="n"/>
      <c r="F28" s="32" t="n">
        <v>-12974.45</v>
      </c>
      <c r="G28" s="76">
        <f>F28/$F$3</f>
        <v/>
      </c>
      <c r="H28" s="77">
        <f>IFERROR((F28-C28)/ABS(C28), 0)</f>
        <v/>
      </c>
      <c r="I28" s="32" t="n">
        <v>-13298.81125</v>
      </c>
      <c r="J28" s="76">
        <f>I28/$I$3</f>
        <v/>
      </c>
      <c r="K28" s="77">
        <f>IFERROR((I28-F28)/ABS(F28), 0)</f>
        <v/>
      </c>
      <c r="L28" s="32" t="n">
        <v>-13631.28153125</v>
      </c>
      <c r="M28" s="76">
        <f>L28/$L$3</f>
        <v/>
      </c>
      <c r="N28" s="77">
        <f>IFERROR((L28-I28)/ABS(I28), 0)</f>
        <v/>
      </c>
      <c r="O28" s="32" t="n">
        <v>-13972.06356953124</v>
      </c>
      <c r="P28" s="76">
        <f>O28/$O$3</f>
        <v/>
      </c>
      <c r="Q28" s="77">
        <f>IFERROR((O28-L28)/ABS(L28), 0)</f>
        <v/>
      </c>
      <c r="R28" s="32" t="n">
        <v>-14321.36515876952</v>
      </c>
      <c r="S28" s="76">
        <f>R28/$R$3</f>
        <v/>
      </c>
      <c r="T28" s="77">
        <f>IFERROR((R28-O28)/ABS(O28), 0)</f>
        <v/>
      </c>
      <c r="U28" s="32" t="n">
        <v>-14679.39928773876</v>
      </c>
      <c r="V28" s="76">
        <f>U28/$U$3</f>
        <v/>
      </c>
      <c r="W28" s="77">
        <f>IFERROR((U28-R28)/ABS(R28), 0)</f>
        <v/>
      </c>
      <c r="X28" s="32" t="n">
        <v>-15046.38426993223</v>
      </c>
      <c r="Y28" s="76">
        <f>X28/$X$3</f>
        <v/>
      </c>
      <c r="Z28" s="77">
        <f>IFERROR((X28-U28)/ABS(U28), 0)</f>
        <v/>
      </c>
      <c r="AA28" s="32" t="n">
        <v>-15422.54387668053</v>
      </c>
      <c r="AB28" s="76">
        <f>AA28/$AA$3</f>
        <v/>
      </c>
      <c r="AC28" s="77">
        <f>IFERROR((AA28-X28)/ABS(X28), 0)</f>
        <v/>
      </c>
      <c r="AD28" s="32" t="n">
        <v>-15808.10747359754</v>
      </c>
      <c r="AE28" s="76">
        <f>AD28/$AD$3</f>
        <v/>
      </c>
      <c r="AF28" s="77">
        <f>IFERROR((AD28-AA28)/ABS(AA28), 0)</f>
        <v/>
      </c>
      <c r="AG28" s="32" t="n">
        <v>-16203.31016043748</v>
      </c>
      <c r="AH28" s="76">
        <f>AG28/$AG$3</f>
        <v/>
      </c>
      <c r="AI28" s="77">
        <f>IFERROR((AG28-AD28)/ABS(AD28), 0)</f>
        <v/>
      </c>
      <c r="AJ28" s="32" t="n">
        <v>-16608.39291444842</v>
      </c>
      <c r="AK28" s="76">
        <f>AJ28/$AJ$3</f>
        <v/>
      </c>
      <c r="AL28" s="77">
        <f>IFERROR((AJ28-AG28)/ABS(AG28), 0)</f>
        <v/>
      </c>
      <c r="AM28" s="32">
        <f>C28+F28+I28+L28+O28+R28+U28+X28+AA28+AD28+AG28+AJ28</f>
        <v/>
      </c>
      <c r="AN28" s="76">
        <f>AM28/$AM$3</f>
        <v/>
      </c>
      <c r="AO28" s="32" t="n"/>
      <c r="AP28" s="32">
        <f>AM28/12</f>
        <v/>
      </c>
    </row>
    <row r="29">
      <c r="A29" s="30" t="n"/>
      <c r="B29" s="31" t="inlineStr">
        <is>
          <t>Manutenção</t>
        </is>
      </c>
      <c r="C29" s="32" t="n">
        <v>-4599.64876469479</v>
      </c>
      <c r="D29" s="76">
        <f>C29/$C$3</f>
        <v/>
      </c>
      <c r="E29" s="33" t="n"/>
      <c r="F29" s="32" t="n">
        <v>-4714.63998381216</v>
      </c>
      <c r="G29" s="76">
        <f>F29/$F$3</f>
        <v/>
      </c>
      <c r="H29" s="77">
        <f>IFERROR((F29-C29)/ABS(C29), 0)</f>
        <v/>
      </c>
      <c r="I29" s="32" t="n">
        <v>-4832.505983407463</v>
      </c>
      <c r="J29" s="76">
        <f>I29/$I$3</f>
        <v/>
      </c>
      <c r="K29" s="77">
        <f>IFERROR((I29-F29)/ABS(F29), 0)</f>
        <v/>
      </c>
      <c r="L29" s="32" t="n">
        <v>-4543.760510416665</v>
      </c>
      <c r="M29" s="76">
        <f>L29/$L$3</f>
        <v/>
      </c>
      <c r="N29" s="77">
        <f>IFERROR((L29-I29)/ABS(I29), 0)</f>
        <v/>
      </c>
      <c r="O29" s="32" t="n">
        <v>-4657.354523177081</v>
      </c>
      <c r="P29" s="76">
        <f>O29/$O$3</f>
        <v/>
      </c>
      <c r="Q29" s="77">
        <f>IFERROR((O29-L29)/ABS(L29), 0)</f>
        <v/>
      </c>
      <c r="R29" s="32" t="n">
        <v>-4773.788386256508</v>
      </c>
      <c r="S29" s="76">
        <f>R29/$R$3</f>
        <v/>
      </c>
      <c r="T29" s="77">
        <f>IFERROR((R29-O29)/ABS(O29), 0)</f>
        <v/>
      </c>
      <c r="U29" s="32" t="n">
        <v>-4893.13309591292</v>
      </c>
      <c r="V29" s="76">
        <f>U29/$U$3</f>
        <v/>
      </c>
      <c r="W29" s="77">
        <f>IFERROR((U29-R29)/ABS(R29), 0)</f>
        <v/>
      </c>
      <c r="X29" s="32" t="n">
        <v>-5015.461423310742</v>
      </c>
      <c r="Y29" s="76">
        <f>X29/$X$3</f>
        <v/>
      </c>
      <c r="Z29" s="77">
        <f>IFERROR((X29-U29)/ABS(U29), 0)</f>
        <v/>
      </c>
      <c r="AA29" s="32" t="n">
        <v>-5140.847958893511</v>
      </c>
      <c r="AB29" s="76">
        <f>AA29/$AA$3</f>
        <v/>
      </c>
      <c r="AC29" s="77">
        <f>IFERROR((AA29-X29)/ABS(X29), 0)</f>
        <v/>
      </c>
      <c r="AD29" s="32" t="n">
        <v>-5269.369157865848</v>
      </c>
      <c r="AE29" s="76">
        <f>AD29/$AD$3</f>
        <v/>
      </c>
      <c r="AF29" s="77">
        <f>IFERROR((AD29-AA29)/ABS(AA29), 0)</f>
        <v/>
      </c>
      <c r="AG29" s="32" t="n">
        <v>-5401.103386812493</v>
      </c>
      <c r="AH29" s="76">
        <f>AG29/$AG$3</f>
        <v/>
      </c>
      <c r="AI29" s="77">
        <f>IFERROR((AG29-AD29)/ABS(AD29), 0)</f>
        <v/>
      </c>
      <c r="AJ29" s="32" t="n">
        <v>-5536.130971482806</v>
      </c>
      <c r="AK29" s="76">
        <f>AJ29/$AJ$3</f>
        <v/>
      </c>
      <c r="AL29" s="77">
        <f>IFERROR((AJ29-AG29)/ABS(AG29), 0)</f>
        <v/>
      </c>
      <c r="AM29" s="32">
        <f>C29+F29+I29+L29+O29+R29+U29+X29+AA29+AD29+AG29+AJ29</f>
        <v/>
      </c>
      <c r="AN29" s="76">
        <f>AM29/$AM$3</f>
        <v/>
      </c>
      <c r="AO29" s="32" t="n"/>
      <c r="AP29" s="32">
        <f>AM29/12</f>
        <v/>
      </c>
    </row>
    <row r="30">
      <c r="A30" s="30" t="n"/>
      <c r="B30" s="31" t="inlineStr">
        <is>
          <t>Infra tech</t>
        </is>
      </c>
      <c r="C30" s="32" t="n">
        <v>-84378.93122809521</v>
      </c>
      <c r="D30" s="76">
        <f>C30/$C$3</f>
        <v/>
      </c>
      <c r="E30" s="33" t="n"/>
      <c r="F30" s="32" t="n">
        <v>-80658.1888347619</v>
      </c>
      <c r="G30" s="76">
        <f>F30/$F$3</f>
        <v/>
      </c>
      <c r="H30" s="77">
        <f>IFERROR((F30-C30)/ABS(C30), 0)</f>
        <v/>
      </c>
      <c r="I30" s="32" t="n">
        <v>-80948.87319</v>
      </c>
      <c r="J30" s="76">
        <f>I30/$I$3</f>
        <v/>
      </c>
      <c r="K30" s="77">
        <f>IFERROR((I30-F30)/ABS(F30), 0)</f>
        <v/>
      </c>
      <c r="L30" s="32" t="n">
        <v>-83353.68095238094</v>
      </c>
      <c r="M30" s="76">
        <f>L30/$L$3</f>
        <v/>
      </c>
      <c r="N30" s="77">
        <f>IFERROR((L30-I30)/ABS(I30), 0)</f>
        <v/>
      </c>
      <c r="O30" s="32" t="n">
        <v>-79678.14761904761</v>
      </c>
      <c r="P30" s="76">
        <f>O30/$O$3</f>
        <v/>
      </c>
      <c r="Q30" s="77">
        <f>IFERROR((O30-L30)/ABS(L30), 0)</f>
        <v/>
      </c>
      <c r="R30" s="32" t="n">
        <v>-79965.3</v>
      </c>
      <c r="S30" s="76">
        <f>R30/$R$3</f>
        <v/>
      </c>
      <c r="T30" s="77">
        <f>IFERROR((R30-O30)/ABS(O30), 0)</f>
        <v/>
      </c>
      <c r="U30" s="32" t="n">
        <v>-74253.00952380952</v>
      </c>
      <c r="V30" s="76">
        <f>U30/$U$3</f>
        <v/>
      </c>
      <c r="W30" s="77">
        <f>IFERROR((U30-R30)/ABS(R30), 0)</f>
        <v/>
      </c>
      <c r="X30" s="32" t="n">
        <v>-75406.52380952382</v>
      </c>
      <c r="Y30" s="76">
        <f>X30/$X$3</f>
        <v/>
      </c>
      <c r="Z30" s="77">
        <f>IFERROR((X30-U30)/ABS(U30), 0)</f>
        <v/>
      </c>
      <c r="AA30" s="32" t="n">
        <v>-85258.58095238096</v>
      </c>
      <c r="AB30" s="76">
        <f>AA30/$AA$3</f>
        <v/>
      </c>
      <c r="AC30" s="77">
        <f>IFERROR((AA30-X30)/ABS(X30), 0)</f>
        <v/>
      </c>
      <c r="AD30" s="32" t="n">
        <v>-87104.47619047618</v>
      </c>
      <c r="AE30" s="76">
        <f>AD30/$AD$3</f>
        <v/>
      </c>
      <c r="AF30" s="77">
        <f>IFERROR((AD30-AA30)/ABS(AA30), 0)</f>
        <v/>
      </c>
      <c r="AG30" s="32" t="n">
        <v>-78988.47500000001</v>
      </c>
      <c r="AH30" s="76">
        <f>AG30/$AG$3</f>
        <v/>
      </c>
      <c r="AI30" s="77">
        <f>IFERROR((AG30-AD30)/ABS(AD30), 0)</f>
        <v/>
      </c>
      <c r="AJ30" s="32" t="n">
        <v>-136994.1068571429</v>
      </c>
      <c r="AK30" s="76">
        <f>AJ30/$AJ$3</f>
        <v/>
      </c>
      <c r="AL30" s="77">
        <f>IFERROR((AJ30-AG30)/ABS(AG30), 0)</f>
        <v/>
      </c>
      <c r="AM30" s="32">
        <f>C30+F30+I30+L30+O30+R30+U30+X30+AA30+AD30+AG30+AJ30</f>
        <v/>
      </c>
      <c r="AN30" s="76">
        <f>AM30/$AM$3</f>
        <v/>
      </c>
      <c r="AO30" s="32" t="n"/>
      <c r="AP30" s="32">
        <f>AM30/12</f>
        <v/>
      </c>
    </row>
    <row r="31">
      <c r="A31" s="30" t="n"/>
      <c r="B31" s="31" t="n"/>
      <c r="C31" s="32" t="n"/>
      <c r="D31" s="32" t="n"/>
      <c r="E31" s="33" t="n"/>
      <c r="F31" s="32" t="n"/>
      <c r="G31" s="32" t="n"/>
      <c r="H31" s="33" t="n"/>
      <c r="I31" s="32" t="n"/>
      <c r="J31" s="32" t="n"/>
      <c r="K31" s="33" t="n"/>
      <c r="L31" s="32" t="n"/>
      <c r="M31" s="32" t="n"/>
      <c r="N31" s="33" t="n"/>
      <c r="O31" s="32" t="n"/>
      <c r="P31" s="32" t="n"/>
      <c r="Q31" s="33" t="n"/>
      <c r="R31" s="32" t="n"/>
      <c r="S31" s="32" t="n"/>
      <c r="T31" s="33" t="n"/>
      <c r="U31" s="32" t="n"/>
      <c r="V31" s="32" t="n"/>
      <c r="W31" s="33" t="n"/>
      <c r="X31" s="32" t="n"/>
      <c r="Y31" s="32" t="n"/>
      <c r="Z31" s="33" t="n"/>
      <c r="AA31" s="32" t="n"/>
      <c r="AB31" s="32" t="n"/>
      <c r="AC31" s="33" t="n"/>
      <c r="AD31" s="32" t="n"/>
      <c r="AE31" s="32" t="n"/>
      <c r="AF31" s="33" t="n"/>
      <c r="AG31" s="32" t="n"/>
      <c r="AH31" s="32" t="n"/>
      <c r="AI31" s="33" t="n"/>
      <c r="AJ31" s="32" t="n"/>
      <c r="AK31" s="32" t="n"/>
      <c r="AL31" s="33" t="n"/>
      <c r="AM31" s="32">
        <f>C31+F31+I31+L31+O31+R31+U31+X31+AA31+AD31+AG31+AJ31</f>
        <v/>
      </c>
      <c r="AN31" s="76">
        <f>AM31/$AM$3</f>
        <v/>
      </c>
      <c r="AO31" s="32" t="n"/>
      <c r="AP31" s="32">
        <f>AM31/12</f>
        <v/>
      </c>
    </row>
    <row r="32">
      <c r="A32" s="17" t="n"/>
      <c r="B32" s="18" t="inlineStr">
        <is>
          <t>Despesas Administrativas</t>
        </is>
      </c>
      <c r="C32" s="19">
        <f>C33+C34+C35</f>
        <v/>
      </c>
      <c r="D32" s="70">
        <f>C32/$C$3</f>
        <v/>
      </c>
      <c r="E32" s="20" t="n"/>
      <c r="F32" s="19">
        <f>F33+F34+F35</f>
        <v/>
      </c>
      <c r="G32" s="70">
        <f>F32/$F$3</f>
        <v/>
      </c>
      <c r="H32" s="71">
        <f>IFERROR((F32-C32)/ABS(C32), 0)</f>
        <v/>
      </c>
      <c r="I32" s="19">
        <f>I33+I34+I35</f>
        <v/>
      </c>
      <c r="J32" s="70">
        <f>I32/$I$3</f>
        <v/>
      </c>
      <c r="K32" s="71">
        <f>IFERROR((I32-F32)/ABS(F32), 0)</f>
        <v/>
      </c>
      <c r="L32" s="19">
        <f>L33+L34+L35</f>
        <v/>
      </c>
      <c r="M32" s="70">
        <f>L32/$L$3</f>
        <v/>
      </c>
      <c r="N32" s="71">
        <f>IFERROR((L32-I32)/ABS(I32), 0)</f>
        <v/>
      </c>
      <c r="O32" s="19">
        <f>O33+O34+O35</f>
        <v/>
      </c>
      <c r="P32" s="70">
        <f>O32/$O$3</f>
        <v/>
      </c>
      <c r="Q32" s="71">
        <f>IFERROR((O32-L32)/ABS(L32), 0)</f>
        <v/>
      </c>
      <c r="R32" s="19">
        <f>R33+R34+R35</f>
        <v/>
      </c>
      <c r="S32" s="70">
        <f>R32/$R$3</f>
        <v/>
      </c>
      <c r="T32" s="71">
        <f>IFERROR((R32-O32)/ABS(O32), 0)</f>
        <v/>
      </c>
      <c r="U32" s="19">
        <f>U33+U34+U35</f>
        <v/>
      </c>
      <c r="V32" s="70">
        <f>U32/$U$3</f>
        <v/>
      </c>
      <c r="W32" s="71">
        <f>IFERROR((U32-R32)/ABS(R32), 0)</f>
        <v/>
      </c>
      <c r="X32" s="19">
        <f>X33+X34+X35</f>
        <v/>
      </c>
      <c r="Y32" s="70">
        <f>X32/$X$3</f>
        <v/>
      </c>
      <c r="Z32" s="71">
        <f>IFERROR((X32-U32)/ABS(U32), 0)</f>
        <v/>
      </c>
      <c r="AA32" s="19">
        <f>AA33+AA34+AA35</f>
        <v/>
      </c>
      <c r="AB32" s="70">
        <f>AA32/$AA$3</f>
        <v/>
      </c>
      <c r="AC32" s="71">
        <f>IFERROR((AA32-X32)/ABS(X32), 0)</f>
        <v/>
      </c>
      <c r="AD32" s="19">
        <f>AD33+AD34+AD35</f>
        <v/>
      </c>
      <c r="AE32" s="70">
        <f>AD32/$AD$3</f>
        <v/>
      </c>
      <c r="AF32" s="71">
        <f>IFERROR((AD32-AA32)/ABS(AA32), 0)</f>
        <v/>
      </c>
      <c r="AG32" s="19">
        <f>AG33+AG34+AG35</f>
        <v/>
      </c>
      <c r="AH32" s="70">
        <f>AG32/$AG$3</f>
        <v/>
      </c>
      <c r="AI32" s="71">
        <f>IFERROR((AG32-AD32)/ABS(AD32), 0)</f>
        <v/>
      </c>
      <c r="AJ32" s="19">
        <f>AJ33+AJ34+AJ35</f>
        <v/>
      </c>
      <c r="AK32" s="70">
        <f>AJ32/$AJ$3</f>
        <v/>
      </c>
      <c r="AL32" s="71">
        <f>IFERROR((AJ32-AG32)/ABS(AG32), 0)</f>
        <v/>
      </c>
      <c r="AM32" s="19">
        <f>C32+F32+I32+L32+O32+R32+U32+X32+AA32+AD32+AG32+AJ32</f>
        <v/>
      </c>
      <c r="AN32" s="70">
        <f>AM32/$AM$3</f>
        <v/>
      </c>
      <c r="AO32" s="19" t="n"/>
      <c r="AP32" s="19">
        <f>AM32/12</f>
        <v/>
      </c>
    </row>
    <row r="33">
      <c r="A33" s="30" t="n"/>
      <c r="B33" s="31" t="inlineStr">
        <is>
          <t>Serviços Adm</t>
        </is>
      </c>
      <c r="C33" s="32" t="n">
        <v>-9606.32208</v>
      </c>
      <c r="D33" s="76">
        <f>C33/$C$3</f>
        <v/>
      </c>
      <c r="E33" s="33" t="n"/>
      <c r="F33" s="32" t="n">
        <v>-9606.32208</v>
      </c>
      <c r="G33" s="76">
        <f>F33/$F$3</f>
        <v/>
      </c>
      <c r="H33" s="77">
        <f>IFERROR((F33-C33)/ABS(C33), 0)</f>
        <v/>
      </c>
      <c r="I33" s="32" t="n">
        <v>-9606.32208</v>
      </c>
      <c r="J33" s="76">
        <f>I33/$I$3</f>
        <v/>
      </c>
      <c r="K33" s="77">
        <f>IFERROR((I33-F33)/ABS(F33), 0)</f>
        <v/>
      </c>
      <c r="L33" s="32" t="n">
        <v>-9489.6</v>
      </c>
      <c r="M33" s="76">
        <f>L33/$L$3</f>
        <v/>
      </c>
      <c r="N33" s="77">
        <f>IFERROR((L33-I33)/ABS(I33), 0)</f>
        <v/>
      </c>
      <c r="O33" s="32" t="n">
        <v>-9489.6</v>
      </c>
      <c r="P33" s="76">
        <f>O33/$O$3</f>
        <v/>
      </c>
      <c r="Q33" s="77">
        <f>IFERROR((O33-L33)/ABS(L33), 0)</f>
        <v/>
      </c>
      <c r="R33" s="32" t="n">
        <v>-9489.6</v>
      </c>
      <c r="S33" s="76">
        <f>R33/$R$3</f>
        <v/>
      </c>
      <c r="T33" s="77">
        <f>IFERROR((R33-O33)/ABS(O33), 0)</f>
        <v/>
      </c>
      <c r="U33" s="32" t="n">
        <v>-14829.6</v>
      </c>
      <c r="V33" s="76">
        <f>U33/$U$3</f>
        <v/>
      </c>
      <c r="W33" s="77">
        <f>IFERROR((U33-R33)/ABS(R33), 0)</f>
        <v/>
      </c>
      <c r="X33" s="32" t="n">
        <v>-20397.6</v>
      </c>
      <c r="Y33" s="76">
        <f>X33/$X$3</f>
        <v/>
      </c>
      <c r="Z33" s="77">
        <f>IFERROR((X33-U33)/ABS(U33), 0)</f>
        <v/>
      </c>
      <c r="AA33" s="32" t="n">
        <v>-12489.6</v>
      </c>
      <c r="AB33" s="76">
        <f>AA33/$AA$3</f>
        <v/>
      </c>
      <c r="AC33" s="77">
        <f>IFERROR((AA33-X33)/ABS(X33), 0)</f>
        <v/>
      </c>
      <c r="AD33" s="32" t="n">
        <v>-13209.6</v>
      </c>
      <c r="AE33" s="76">
        <f>AD33/$AD$3</f>
        <v/>
      </c>
      <c r="AF33" s="77">
        <f>IFERROR((AD33-AA33)/ABS(AA33), 0)</f>
        <v/>
      </c>
      <c r="AG33" s="32" t="n">
        <v>-15138.852</v>
      </c>
      <c r="AH33" s="76">
        <f>AG33/$AG$3</f>
        <v/>
      </c>
      <c r="AI33" s="77">
        <f>IFERROR((AG33-AD33)/ABS(AD33), 0)</f>
        <v/>
      </c>
      <c r="AJ33" s="32" t="n">
        <v>-19209.6</v>
      </c>
      <c r="AK33" s="76">
        <f>AJ33/$AJ$3</f>
        <v/>
      </c>
      <c r="AL33" s="77">
        <f>IFERROR((AJ33-AG33)/ABS(AG33), 0)</f>
        <v/>
      </c>
      <c r="AM33" s="32">
        <f>C33+F33+I33+L33+O33+R33+U33+X33+AA33+AD33+AG33+AJ33</f>
        <v/>
      </c>
      <c r="AN33" s="76">
        <f>AM33/$AM$3</f>
        <v/>
      </c>
      <c r="AO33" s="32" t="n"/>
      <c r="AP33" s="32">
        <f>AM33/12</f>
        <v/>
      </c>
    </row>
    <row r="34">
      <c r="A34" s="30" t="n"/>
      <c r="B34" s="31" t="inlineStr">
        <is>
          <t>Mat. Escritorio</t>
        </is>
      </c>
      <c r="C34" s="32" t="n">
        <v>-8910.172480699999</v>
      </c>
      <c r="D34" s="76">
        <f>C34/$C$3</f>
        <v/>
      </c>
      <c r="E34" s="33" t="n"/>
      <c r="F34" s="32" t="n">
        <v>-298.9008087</v>
      </c>
      <c r="G34" s="76">
        <f>F34/$F$3</f>
        <v/>
      </c>
      <c r="H34" s="77">
        <f>IFERROR((F34-C34)/ABS(C34), 0)</f>
        <v/>
      </c>
      <c r="I34" s="32" t="n">
        <v>-8306.079418799998</v>
      </c>
      <c r="J34" s="76">
        <f>I34/$I$3</f>
        <v/>
      </c>
      <c r="K34" s="77">
        <f>IFERROR((I34-F34)/ABS(F34), 0)</f>
        <v/>
      </c>
      <c r="L34" s="32" t="n">
        <v>-8801.909</v>
      </c>
      <c r="M34" s="76">
        <f>L34/$L$3</f>
        <v/>
      </c>
      <c r="N34" s="77">
        <f>IFERROR((L34-I34)/ABS(I34), 0)</f>
        <v/>
      </c>
      <c r="O34" s="32" t="n">
        <v>-295.269</v>
      </c>
      <c r="P34" s="76">
        <f>O34/$O$3</f>
        <v/>
      </c>
      <c r="Q34" s="77">
        <f>IFERROR((O34-L34)/ABS(L34), 0)</f>
        <v/>
      </c>
      <c r="R34" s="32" t="n">
        <v>-8205.155999999999</v>
      </c>
      <c r="S34" s="76">
        <f>R34/$R$3</f>
        <v/>
      </c>
      <c r="T34" s="77">
        <f>IFERROR((R34-O34)/ABS(O34), 0)</f>
        <v/>
      </c>
      <c r="U34" s="32" t="n">
        <v>-1808.2938</v>
      </c>
      <c r="V34" s="76">
        <f>U34/$U$3</f>
        <v/>
      </c>
      <c r="W34" s="77">
        <f>IFERROR((U34-R34)/ABS(R34), 0)</f>
        <v/>
      </c>
      <c r="X34" s="32" t="n">
        <v>-259.5836</v>
      </c>
      <c r="Y34" s="76">
        <f>X34/$X$3</f>
        <v/>
      </c>
      <c r="Z34" s="77">
        <f>IFERROR((X34-U34)/ABS(U34), 0)</f>
        <v/>
      </c>
      <c r="AA34" s="32" t="n">
        <v>-567.7119999999999</v>
      </c>
      <c r="AB34" s="76">
        <f>AA34/$AA$3</f>
        <v/>
      </c>
      <c r="AC34" s="77">
        <f>IFERROR((AA34-X34)/ABS(X34), 0)</f>
        <v/>
      </c>
      <c r="AD34" s="32" t="n">
        <v>-652.2924999999999</v>
      </c>
      <c r="AE34" s="76">
        <f>AD34/$AD$3</f>
        <v/>
      </c>
      <c r="AF34" s="77">
        <f>IFERROR((AD34-AA34)/ABS(AA34), 0)</f>
        <v/>
      </c>
      <c r="AG34" s="32" t="n">
        <v>-3637.1423</v>
      </c>
      <c r="AH34" s="76">
        <f>AG34/$AG$3</f>
        <v/>
      </c>
      <c r="AI34" s="77">
        <f>IFERROR((AG34-AD34)/ABS(AD34), 0)</f>
        <v/>
      </c>
      <c r="AJ34" s="32" t="n">
        <v>-942.2617999999999</v>
      </c>
      <c r="AK34" s="76">
        <f>AJ34/$AJ$3</f>
        <v/>
      </c>
      <c r="AL34" s="77">
        <f>IFERROR((AJ34-AG34)/ABS(AG34), 0)</f>
        <v/>
      </c>
      <c r="AM34" s="32">
        <f>C34+F34+I34+L34+O34+R34+U34+X34+AA34+AD34+AG34+AJ34</f>
        <v/>
      </c>
      <c r="AN34" s="76">
        <f>AM34/$AM$3</f>
        <v/>
      </c>
      <c r="AO34" s="32" t="n"/>
      <c r="AP34" s="32">
        <f>AM34/12</f>
        <v/>
      </c>
    </row>
    <row r="35">
      <c r="A35" s="30" t="n"/>
      <c r="B35" s="31" t="inlineStr">
        <is>
          <t>Viagens e Locomoção</t>
        </is>
      </c>
      <c r="C35" s="32" t="n">
        <v>-9428.956996999999</v>
      </c>
      <c r="D35" s="76">
        <f>C35/$C$3</f>
        <v/>
      </c>
      <c r="E35" s="33" t="n"/>
      <c r="F35" s="32" t="n">
        <v>-3125.202929</v>
      </c>
      <c r="G35" s="76">
        <f>F35/$F$3</f>
        <v/>
      </c>
      <c r="H35" s="77">
        <f>IFERROR((F35-C35)/ABS(C35), 0)</f>
        <v/>
      </c>
      <c r="I35" s="32" t="n">
        <v>-13119.013203</v>
      </c>
      <c r="J35" s="76">
        <f>I35/$I$3</f>
        <v/>
      </c>
      <c r="K35" s="77">
        <f>IFERROR((I35-F35)/ABS(F35), 0)</f>
        <v/>
      </c>
      <c r="L35" s="32" t="n">
        <v>-9314.389999999999</v>
      </c>
      <c r="M35" s="76">
        <f>L35/$L$3</f>
        <v/>
      </c>
      <c r="N35" s="77">
        <f>IFERROR((L35-I35)/ABS(I35), 0)</f>
        <v/>
      </c>
      <c r="O35" s="32" t="n">
        <v>-3087.23</v>
      </c>
      <c r="P35" s="76">
        <f>O35/$O$3</f>
        <v/>
      </c>
      <c r="Q35" s="77">
        <f>IFERROR((O35-L35)/ABS(L35), 0)</f>
        <v/>
      </c>
      <c r="R35" s="32" t="n">
        <v>-12959.61</v>
      </c>
      <c r="S35" s="76">
        <f>R35/$R$3</f>
        <v/>
      </c>
      <c r="T35" s="77">
        <f>IFERROR((R35-O35)/ABS(O35), 0)</f>
        <v/>
      </c>
      <c r="U35" s="32" t="n">
        <v>-4633.28</v>
      </c>
      <c r="V35" s="76">
        <f>U35/$U$3</f>
        <v/>
      </c>
      <c r="W35" s="77">
        <f>IFERROR((U35-R35)/ABS(R35), 0)</f>
        <v/>
      </c>
      <c r="X35" s="32" t="n">
        <v>-4596.67</v>
      </c>
      <c r="Y35" s="76">
        <f>X35/$X$3</f>
        <v/>
      </c>
      <c r="Z35" s="77">
        <f>IFERROR((X35-U35)/ABS(U35), 0)</f>
        <v/>
      </c>
      <c r="AA35" s="32" t="n">
        <v>-2663.92</v>
      </c>
      <c r="AB35" s="76">
        <f>AA35/$AA$3</f>
        <v/>
      </c>
      <c r="AC35" s="77">
        <f>IFERROR((AA35-X35)/ABS(X35), 0)</f>
        <v/>
      </c>
      <c r="AD35" s="32" t="n">
        <v>-6239.52</v>
      </c>
      <c r="AE35" s="76">
        <f>AD35/$AD$3</f>
        <v/>
      </c>
      <c r="AF35" s="77">
        <f>IFERROR((AD35-AA35)/ABS(AA35), 0)</f>
        <v/>
      </c>
      <c r="AG35" s="32" t="n">
        <v>-6948.24</v>
      </c>
      <c r="AH35" s="76">
        <f>AG35/$AG$3</f>
        <v/>
      </c>
      <c r="AI35" s="77">
        <f>IFERROR((AG35-AD35)/ABS(AD35), 0)</f>
        <v/>
      </c>
      <c r="AJ35" s="32" t="n">
        <v>-4228.65</v>
      </c>
      <c r="AK35" s="76">
        <f>AJ35/$AJ$3</f>
        <v/>
      </c>
      <c r="AL35" s="77">
        <f>IFERROR((AJ35-AG35)/ABS(AG35), 0)</f>
        <v/>
      </c>
      <c r="AM35" s="32">
        <f>C35+F35+I35+L35+O35+R35+U35+X35+AA35+AD35+AG35+AJ35</f>
        <v/>
      </c>
      <c r="AN35" s="76">
        <f>AM35/$AM$3</f>
        <v/>
      </c>
      <c r="AO35" s="32" t="n"/>
      <c r="AP35" s="32">
        <f>AM35/12</f>
        <v/>
      </c>
    </row>
    <row r="36">
      <c r="A36" s="30" t="n"/>
      <c r="B36" s="31" t="n"/>
      <c r="C36" s="32" t="n"/>
      <c r="D36" s="32" t="n"/>
      <c r="E36" s="33" t="n"/>
      <c r="F36" s="32" t="n"/>
      <c r="G36" s="32" t="n"/>
      <c r="H36" s="33" t="n"/>
      <c r="I36" s="32" t="n"/>
      <c r="J36" s="32" t="n"/>
      <c r="K36" s="33" t="n"/>
      <c r="L36" s="32" t="n"/>
      <c r="M36" s="32" t="n"/>
      <c r="N36" s="33" t="n"/>
      <c r="O36" s="32" t="n"/>
      <c r="P36" s="32" t="n"/>
      <c r="Q36" s="33" t="n"/>
      <c r="R36" s="32" t="n"/>
      <c r="S36" s="32" t="n"/>
      <c r="T36" s="33" t="n"/>
      <c r="U36" s="32" t="n"/>
      <c r="V36" s="32" t="n"/>
      <c r="W36" s="33" t="n"/>
      <c r="X36" s="32" t="n"/>
      <c r="Y36" s="32" t="n"/>
      <c r="Z36" s="33" t="n"/>
      <c r="AA36" s="32" t="n"/>
      <c r="AB36" s="32" t="n"/>
      <c r="AC36" s="33" t="n"/>
      <c r="AD36" s="32" t="n"/>
      <c r="AE36" s="32" t="n"/>
      <c r="AF36" s="33" t="n"/>
      <c r="AG36" s="32" t="n"/>
      <c r="AH36" s="32" t="n"/>
      <c r="AI36" s="33" t="n"/>
      <c r="AJ36" s="32" t="n"/>
      <c r="AK36" s="32" t="n"/>
      <c r="AL36" s="33" t="n"/>
      <c r="AM36" s="32">
        <f>C36+F36+I36+L36+O36+R36+U36+X36+AA36+AD36+AG36+AJ36</f>
        <v/>
      </c>
      <c r="AN36" s="76">
        <f>AM36/$AM$3</f>
        <v/>
      </c>
      <c r="AO36" s="32" t="n"/>
      <c r="AP36" s="32">
        <f>AM36/12</f>
        <v/>
      </c>
    </row>
    <row r="37">
      <c r="A37" s="17" t="n"/>
      <c r="B37" s="18" t="inlineStr">
        <is>
          <t>Despesas Comerciais</t>
        </is>
      </c>
      <c r="C37" s="19">
        <f>C38+C39+C40</f>
        <v/>
      </c>
      <c r="D37" s="70">
        <f>C37/$C$3</f>
        <v/>
      </c>
      <c r="E37" s="20" t="n"/>
      <c r="F37" s="19">
        <f>F38+F39+F40</f>
        <v/>
      </c>
      <c r="G37" s="70">
        <f>F37/$F$3</f>
        <v/>
      </c>
      <c r="H37" s="71">
        <f>IFERROR((F37-C37)/ABS(C37), 0)</f>
        <v/>
      </c>
      <c r="I37" s="19">
        <f>I38+I39+I40</f>
        <v/>
      </c>
      <c r="J37" s="70">
        <f>I37/$I$3</f>
        <v/>
      </c>
      <c r="K37" s="71">
        <f>IFERROR((I37-F37)/ABS(F37), 0)</f>
        <v/>
      </c>
      <c r="L37" s="19">
        <f>L38+L39+L40</f>
        <v/>
      </c>
      <c r="M37" s="70">
        <f>L37/$L$3</f>
        <v/>
      </c>
      <c r="N37" s="71">
        <f>IFERROR((L37-I37)/ABS(I37), 0)</f>
        <v/>
      </c>
      <c r="O37" s="19">
        <f>O38+O39+O40</f>
        <v/>
      </c>
      <c r="P37" s="70">
        <f>O37/$O$3</f>
        <v/>
      </c>
      <c r="Q37" s="71">
        <f>IFERROR((O37-L37)/ABS(L37), 0)</f>
        <v/>
      </c>
      <c r="R37" s="19">
        <f>R38+R39+R40</f>
        <v/>
      </c>
      <c r="S37" s="70">
        <f>R37/$R$3</f>
        <v/>
      </c>
      <c r="T37" s="71">
        <f>IFERROR((R37-O37)/ABS(O37), 0)</f>
        <v/>
      </c>
      <c r="U37" s="19">
        <f>U38+U39+U40</f>
        <v/>
      </c>
      <c r="V37" s="70">
        <f>U37/$U$3</f>
        <v/>
      </c>
      <c r="W37" s="71">
        <f>IFERROR((U37-R37)/ABS(R37), 0)</f>
        <v/>
      </c>
      <c r="X37" s="19">
        <f>X38+X39+X40</f>
        <v/>
      </c>
      <c r="Y37" s="70">
        <f>X37/$X$3</f>
        <v/>
      </c>
      <c r="Z37" s="71">
        <f>IFERROR((X37-U37)/ABS(U37), 0)</f>
        <v/>
      </c>
      <c r="AA37" s="19">
        <f>AA38+AA39+AA40</f>
        <v/>
      </c>
      <c r="AB37" s="70">
        <f>AA37/$AA$3</f>
        <v/>
      </c>
      <c r="AC37" s="71">
        <f>IFERROR((AA37-X37)/ABS(X37), 0)</f>
        <v/>
      </c>
      <c r="AD37" s="19">
        <f>AD38+AD39+AD40</f>
        <v/>
      </c>
      <c r="AE37" s="70">
        <f>AD37/$AD$3</f>
        <v/>
      </c>
      <c r="AF37" s="71">
        <f>IFERROR((AD37-AA37)/ABS(AA37), 0)</f>
        <v/>
      </c>
      <c r="AG37" s="19">
        <f>AG38+AG39+AG40</f>
        <v/>
      </c>
      <c r="AH37" s="70">
        <f>AG37/$AG$3</f>
        <v/>
      </c>
      <c r="AI37" s="71">
        <f>IFERROR((AG37-AD37)/ABS(AD37), 0)</f>
        <v/>
      </c>
      <c r="AJ37" s="19">
        <f>AJ38+AJ39+AJ40</f>
        <v/>
      </c>
      <c r="AK37" s="70">
        <f>AJ37/$AJ$3</f>
        <v/>
      </c>
      <c r="AL37" s="71">
        <f>IFERROR((AJ37-AG37)/ABS(AG37), 0)</f>
        <v/>
      </c>
      <c r="AM37" s="19">
        <f>C37+F37+I37+L37+O37+R37+U37+X37+AA37+AD37+AG37+AJ37</f>
        <v/>
      </c>
      <c r="AN37" s="70">
        <f>AM37/$AM$3</f>
        <v/>
      </c>
      <c r="AO37" s="19" t="n"/>
      <c r="AP37" s="19">
        <f>AM37/12</f>
        <v/>
      </c>
    </row>
    <row r="38">
      <c r="A38" s="30" t="n"/>
      <c r="B38" s="31" t="inlineStr">
        <is>
          <t>Brindes</t>
        </is>
      </c>
      <c r="C38" s="32" t="n">
        <v>-91.4977478</v>
      </c>
      <c r="D38" s="76">
        <f>C38/$C$3</f>
        <v/>
      </c>
      <c r="E38" s="33" t="n"/>
      <c r="F38" s="32" t="n">
        <v>-2793.45845172</v>
      </c>
      <c r="G38" s="76">
        <f>F38/$F$3</f>
        <v/>
      </c>
      <c r="H38" s="77">
        <f>IFERROR((F38-C38)/ABS(C38), 0)</f>
        <v/>
      </c>
      <c r="I38" s="32" t="n">
        <v>-3811.67777474</v>
      </c>
      <c r="J38" s="76">
        <f>I38/$I$3</f>
        <v/>
      </c>
      <c r="K38" s="77">
        <f>IFERROR((I38-F38)/ABS(F38), 0)</f>
        <v/>
      </c>
      <c r="L38" s="32" t="n">
        <v>-90.386</v>
      </c>
      <c r="M38" s="76">
        <f>L38/$L$3</f>
        <v/>
      </c>
      <c r="N38" s="77">
        <f>IFERROR((L38-I38)/ABS(I38), 0)</f>
        <v/>
      </c>
      <c r="O38" s="32" t="n">
        <v>-2759.5164</v>
      </c>
      <c r="P38" s="76">
        <f>O38/$O$3</f>
        <v/>
      </c>
      <c r="Q38" s="77">
        <f>IFERROR((O38-L38)/ABS(L38), 0)</f>
        <v/>
      </c>
      <c r="R38" s="32" t="n">
        <v>-3765.3638</v>
      </c>
      <c r="S38" s="76">
        <f>R38/$R$3</f>
        <v/>
      </c>
      <c r="T38" s="77">
        <f>IFERROR((R38-O38)/ABS(O38), 0)</f>
        <v/>
      </c>
      <c r="U38" s="32" t="n">
        <v>0</v>
      </c>
      <c r="V38" s="32" t="n"/>
      <c r="W38" s="77">
        <f>IFERROR((U38-R38)/ABS(R38), 0)</f>
        <v/>
      </c>
      <c r="X38" s="32" t="n">
        <v>-2593.244</v>
      </c>
      <c r="Y38" s="76">
        <f>X38/$X$3</f>
        <v/>
      </c>
      <c r="Z38" s="77">
        <f>IFERROR((X38-U38)/ABS(U38), 0)</f>
        <v/>
      </c>
      <c r="AA38" s="32" t="n">
        <v>-1195.1936</v>
      </c>
      <c r="AB38" s="76">
        <f>AA38/$AA$3</f>
        <v/>
      </c>
      <c r="AC38" s="77">
        <f>IFERROR((AA38-X38)/ABS(X38), 0)</f>
        <v/>
      </c>
      <c r="AD38" s="32" t="n">
        <v>-23.736</v>
      </c>
      <c r="AE38" s="76">
        <f>AD38/$AD$3</f>
        <v/>
      </c>
      <c r="AF38" s="77">
        <f>IFERROR((AD38-AA38)/ABS(AA38), 0)</f>
        <v/>
      </c>
      <c r="AG38" s="32" t="n">
        <v>-5856.4452</v>
      </c>
      <c r="AH38" s="76">
        <f>AG38/$AG$3</f>
        <v/>
      </c>
      <c r="AI38" s="77">
        <f>IFERROR((AG38-AD38)/ABS(AD38), 0)</f>
        <v/>
      </c>
      <c r="AJ38" s="32" t="n">
        <v>-1914.833</v>
      </c>
      <c r="AK38" s="76">
        <f>AJ38/$AJ$3</f>
        <v/>
      </c>
      <c r="AL38" s="77">
        <f>IFERROR((AJ38-AG38)/ABS(AG38), 0)</f>
        <v/>
      </c>
      <c r="AM38" s="32">
        <f>C38+F38+I38+L38+O38+R38+U38+X38+AA38+AD38+AG38+AJ38</f>
        <v/>
      </c>
      <c r="AN38" s="76">
        <f>AM38/$AM$3</f>
        <v/>
      </c>
      <c r="AO38" s="32" t="n"/>
      <c r="AP38" s="32">
        <f>AM38/12</f>
        <v/>
      </c>
    </row>
    <row r="39">
      <c r="A39" s="30" t="n"/>
      <c r="B39" s="31" t="inlineStr">
        <is>
          <t>Feiras e Eventos</t>
        </is>
      </c>
      <c r="C39" s="32" t="n">
        <v>0</v>
      </c>
      <c r="D39" s="32" t="n"/>
      <c r="E39" s="33" t="n"/>
      <c r="F39" s="32" t="n">
        <v>-46708.33825</v>
      </c>
      <c r="G39" s="76">
        <f>F39/$F$3</f>
        <v/>
      </c>
      <c r="H39" s="77">
        <f>IFERROR((F39-C39)/ABS(C39), 0)</f>
        <v/>
      </c>
      <c r="I39" s="32" t="n">
        <v>0</v>
      </c>
      <c r="J39" s="32" t="n"/>
      <c r="K39" s="77">
        <f>IFERROR((I39-F39)/ABS(F39), 0)</f>
        <v/>
      </c>
      <c r="L39" s="32" t="n">
        <v>0</v>
      </c>
      <c r="M39" s="32" t="n"/>
      <c r="N39" s="77">
        <f>IFERROR((L39-I39)/ABS(I39), 0)</f>
        <v/>
      </c>
      <c r="O39" s="32" t="n">
        <v>0</v>
      </c>
      <c r="P39" s="32" t="n"/>
      <c r="Q39" s="77">
        <f>IFERROR((O39-L39)/ABS(L39), 0)</f>
        <v/>
      </c>
      <c r="R39" s="32" t="n">
        <v>0</v>
      </c>
      <c r="S39" s="32" t="n"/>
      <c r="T39" s="77">
        <f>IFERROR((R39-O39)/ABS(O39), 0)</f>
        <v/>
      </c>
      <c r="U39" s="32" t="n">
        <v>0</v>
      </c>
      <c r="V39" s="32" t="n"/>
      <c r="W39" s="77">
        <f>IFERROR((U39-R39)/ABS(R39), 0)</f>
        <v/>
      </c>
      <c r="X39" s="32" t="n">
        <v>-37366.6706</v>
      </c>
      <c r="Y39" s="76">
        <f>X39/$X$3</f>
        <v/>
      </c>
      <c r="Z39" s="77">
        <f>IFERROR((X39-U39)/ABS(U39), 0)</f>
        <v/>
      </c>
      <c r="AA39" s="32" t="n">
        <v>-13766.6647</v>
      </c>
      <c r="AB39" s="76">
        <f>AA39/$AA$3</f>
        <v/>
      </c>
      <c r="AC39" s="77">
        <f>IFERROR((AA39-X39)/ABS(X39), 0)</f>
        <v/>
      </c>
      <c r="AD39" s="32" t="n">
        <v>-33358.3581</v>
      </c>
      <c r="AE39" s="76">
        <f>AD39/$AD$3</f>
        <v/>
      </c>
      <c r="AF39" s="77">
        <f>IFERROR((AD39-AA39)/ABS(AA39), 0)</f>
        <v/>
      </c>
      <c r="AG39" s="32" t="n">
        <v>-13766.6647</v>
      </c>
      <c r="AH39" s="76">
        <f>AG39/$AG$3</f>
        <v/>
      </c>
      <c r="AI39" s="77">
        <f>IFERROR((AG39-AD39)/ABS(AD39), 0)</f>
        <v/>
      </c>
      <c r="AJ39" s="32" t="n">
        <v>-13766.6647</v>
      </c>
      <c r="AK39" s="76">
        <f>AJ39/$AJ$3</f>
        <v/>
      </c>
      <c r="AL39" s="77">
        <f>IFERROR((AJ39-AG39)/ABS(AG39), 0)</f>
        <v/>
      </c>
      <c r="AM39" s="32">
        <f>C39+F39+I39+L39+O39+R39+U39+X39+AA39+AD39+AG39+AJ39</f>
        <v/>
      </c>
      <c r="AN39" s="76">
        <f>AM39/$AM$3</f>
        <v/>
      </c>
      <c r="AO39" s="32" t="n"/>
      <c r="AP39" s="32">
        <f>AM39/12</f>
        <v/>
      </c>
    </row>
    <row r="40">
      <c r="A40" s="30" t="n"/>
      <c r="B40" s="31" t="inlineStr">
        <is>
          <t>Marketing</t>
        </is>
      </c>
      <c r="C40" s="32" t="n">
        <v>-12534.7683072</v>
      </c>
      <c r="D40" s="76">
        <f>C40/$C$3</f>
        <v/>
      </c>
      <c r="E40" s="33" t="n"/>
      <c r="F40" s="32" t="n">
        <v>-9888.923846399999</v>
      </c>
      <c r="G40" s="76">
        <f>F40/$F$3</f>
        <v/>
      </c>
      <c r="H40" s="77">
        <f>IFERROR((F40-C40)/ABS(C40), 0)</f>
        <v/>
      </c>
      <c r="I40" s="32" t="n">
        <v>-9955.6627608</v>
      </c>
      <c r="J40" s="76">
        <f>I40/$I$3</f>
        <v/>
      </c>
      <c r="K40" s="77">
        <f>IFERROR((I40-F40)/ABS(F40), 0)</f>
        <v/>
      </c>
      <c r="L40" s="32" t="n">
        <v>-12382.464</v>
      </c>
      <c r="M40" s="76">
        <f>L40/$L$3</f>
        <v/>
      </c>
      <c r="N40" s="77">
        <f>IFERROR((L40-I40)/ABS(I40), 0)</f>
        <v/>
      </c>
      <c r="O40" s="32" t="n">
        <v>-9768.768</v>
      </c>
      <c r="P40" s="76">
        <f>O40/$O$3</f>
        <v/>
      </c>
      <c r="Q40" s="77">
        <f>IFERROR((O40-L40)/ABS(L40), 0)</f>
        <v/>
      </c>
      <c r="R40" s="32" t="n">
        <v>-9834.696</v>
      </c>
      <c r="S40" s="76">
        <f>R40/$R$3</f>
        <v/>
      </c>
      <c r="T40" s="77">
        <f>IFERROR((R40-O40)/ABS(O40), 0)</f>
        <v/>
      </c>
      <c r="U40" s="32" t="n">
        <v>-12931.008</v>
      </c>
      <c r="V40" s="76">
        <f>U40/$U$3</f>
        <v/>
      </c>
      <c r="W40" s="77">
        <f>IFERROR((U40-R40)/ABS(R40), 0)</f>
        <v/>
      </c>
      <c r="X40" s="32" t="n">
        <v>-9336.768</v>
      </c>
      <c r="Y40" s="76">
        <f>X40/$X$3</f>
        <v/>
      </c>
      <c r="Z40" s="77">
        <f>IFERROR((X40-U40)/ABS(U40), 0)</f>
        <v/>
      </c>
      <c r="AA40" s="32" t="n">
        <v>-9768.768</v>
      </c>
      <c r="AB40" s="76">
        <f>AA40/$AA$3</f>
        <v/>
      </c>
      <c r="AC40" s="77">
        <f>IFERROR((AA40-X40)/ABS(X40), 0)</f>
        <v/>
      </c>
      <c r="AD40" s="32" t="n">
        <v>-12931.008</v>
      </c>
      <c r="AE40" s="76">
        <f>AD40/$AD$3</f>
        <v/>
      </c>
      <c r="AF40" s="77">
        <f>IFERROR((AD40-AA40)/ABS(AA40), 0)</f>
        <v/>
      </c>
      <c r="AG40" s="32" t="n">
        <v>-9768.768</v>
      </c>
      <c r="AH40" s="76">
        <f>AG40/$AG$3</f>
        <v/>
      </c>
      <c r="AI40" s="77">
        <f>IFERROR((AG40-AD40)/ABS(AD40), 0)</f>
        <v/>
      </c>
      <c r="AJ40" s="32" t="n">
        <v>-9768.768</v>
      </c>
      <c r="AK40" s="76">
        <f>AJ40/$AJ$3</f>
        <v/>
      </c>
      <c r="AL40" s="77">
        <f>IFERROR((AJ40-AG40)/ABS(AG40), 0)</f>
        <v/>
      </c>
      <c r="AM40" s="32">
        <f>C40+F40+I40+L40+O40+R40+U40+X40+AA40+AD40+AG40+AJ40</f>
        <v/>
      </c>
      <c r="AN40" s="76">
        <f>AM40/$AM$3</f>
        <v/>
      </c>
      <c r="AO40" s="32" t="n"/>
      <c r="AP40" s="32">
        <f>AM40/12</f>
        <v/>
      </c>
    </row>
    <row r="41">
      <c r="A41" s="30" t="n"/>
      <c r="B41" s="31" t="n"/>
      <c r="C41" s="32" t="n"/>
      <c r="D41" s="32" t="n"/>
      <c r="E41" s="33" t="n"/>
      <c r="F41" s="32" t="n"/>
      <c r="G41" s="32" t="n"/>
      <c r="H41" s="33" t="n"/>
      <c r="I41" s="32" t="n"/>
      <c r="J41" s="32" t="n"/>
      <c r="K41" s="33" t="n"/>
      <c r="L41" s="32" t="n"/>
      <c r="M41" s="32" t="n"/>
      <c r="N41" s="33" t="n"/>
      <c r="O41" s="32" t="n"/>
      <c r="P41" s="32" t="n"/>
      <c r="Q41" s="33" t="n"/>
      <c r="R41" s="32" t="n"/>
      <c r="S41" s="32" t="n"/>
      <c r="T41" s="33" t="n"/>
      <c r="U41" s="32" t="n"/>
      <c r="V41" s="32" t="n"/>
      <c r="W41" s="33" t="n"/>
      <c r="X41" s="32" t="n"/>
      <c r="Y41" s="32" t="n"/>
      <c r="Z41" s="33" t="n"/>
      <c r="AA41" s="32" t="n"/>
      <c r="AB41" s="32" t="n"/>
      <c r="AC41" s="33" t="n"/>
      <c r="AD41" s="32" t="n"/>
      <c r="AE41" s="32" t="n"/>
      <c r="AF41" s="33" t="n"/>
      <c r="AG41" s="32" t="n"/>
      <c r="AH41" s="32" t="n"/>
      <c r="AI41" s="33" t="n"/>
      <c r="AJ41" s="32" t="n"/>
      <c r="AK41" s="32" t="n"/>
      <c r="AL41" s="33" t="n"/>
      <c r="AM41" s="32">
        <f>C41+F41+I41+L41+O41+R41+U41+X41+AA41+AD41+AG41+AJ41</f>
        <v/>
      </c>
      <c r="AN41" s="76">
        <f>AM41/$AM$3</f>
        <v/>
      </c>
      <c r="AO41" s="32" t="n"/>
      <c r="AP41" s="32">
        <f>AM41/12</f>
        <v/>
      </c>
    </row>
    <row r="42">
      <c r="A42" s="25" t="inlineStr">
        <is>
          <t>(=)</t>
        </is>
      </c>
      <c r="B42" s="26" t="inlineStr">
        <is>
          <t>LUCRO OPERACIONAL (EBITDA)</t>
        </is>
      </c>
      <c r="C42" s="27">
        <f>C19+C21</f>
        <v/>
      </c>
      <c r="D42" s="73">
        <f>C42/$C$3</f>
        <v/>
      </c>
      <c r="E42" s="28" t="n"/>
      <c r="F42" s="27">
        <f>F19+F21</f>
        <v/>
      </c>
      <c r="G42" s="73">
        <f>F42/$F$3</f>
        <v/>
      </c>
      <c r="H42" s="74">
        <f>IFERROR((F42-C42)/ABS(C42), 0)</f>
        <v/>
      </c>
      <c r="I42" s="27">
        <f>I19+I21</f>
        <v/>
      </c>
      <c r="J42" s="73">
        <f>I42/$I$3</f>
        <v/>
      </c>
      <c r="K42" s="74">
        <f>IFERROR((I42-F42)/ABS(F42), 0)</f>
        <v/>
      </c>
      <c r="L42" s="27">
        <f>L19+L21</f>
        <v/>
      </c>
      <c r="M42" s="73">
        <f>L42/$L$3</f>
        <v/>
      </c>
      <c r="N42" s="74">
        <f>IFERROR((L42-I42)/ABS(I42), 0)</f>
        <v/>
      </c>
      <c r="O42" s="27">
        <f>O19+O21</f>
        <v/>
      </c>
      <c r="P42" s="73">
        <f>O42/$O$3</f>
        <v/>
      </c>
      <c r="Q42" s="74">
        <f>IFERROR((O42-L42)/ABS(L42), 0)</f>
        <v/>
      </c>
      <c r="R42" s="27">
        <f>R19+R21</f>
        <v/>
      </c>
      <c r="S42" s="73">
        <f>R42/$R$3</f>
        <v/>
      </c>
      <c r="T42" s="74">
        <f>IFERROR((R42-O42)/ABS(O42), 0)</f>
        <v/>
      </c>
      <c r="U42" s="27">
        <f>U19+U21</f>
        <v/>
      </c>
      <c r="V42" s="73">
        <f>U42/$U$3</f>
        <v/>
      </c>
      <c r="W42" s="74">
        <f>IFERROR((U42-R42)/ABS(R42), 0)</f>
        <v/>
      </c>
      <c r="X42" s="27">
        <f>X19+X21</f>
        <v/>
      </c>
      <c r="Y42" s="73">
        <f>X42/$X$3</f>
        <v/>
      </c>
      <c r="Z42" s="74">
        <f>IFERROR((X42-U42)/ABS(U42), 0)</f>
        <v/>
      </c>
      <c r="AA42" s="27">
        <f>AA19+AA21</f>
        <v/>
      </c>
      <c r="AB42" s="73">
        <f>AA42/$AA$3</f>
        <v/>
      </c>
      <c r="AC42" s="74">
        <f>IFERROR((AA42-X42)/ABS(X42), 0)</f>
        <v/>
      </c>
      <c r="AD42" s="27">
        <f>AD19+AD21</f>
        <v/>
      </c>
      <c r="AE42" s="73">
        <f>AD42/$AD$3</f>
        <v/>
      </c>
      <c r="AF42" s="74">
        <f>IFERROR((AD42-AA42)/ABS(AA42), 0)</f>
        <v/>
      </c>
      <c r="AG42" s="27">
        <f>AG19+AG21</f>
        <v/>
      </c>
      <c r="AH42" s="73">
        <f>AG42/$AG$3</f>
        <v/>
      </c>
      <c r="AI42" s="74">
        <f>IFERROR((AG42-AD42)/ABS(AD42), 0)</f>
        <v/>
      </c>
      <c r="AJ42" s="27">
        <f>AJ19+AJ21</f>
        <v/>
      </c>
      <c r="AK42" s="73">
        <f>AJ42/$AJ$3</f>
        <v/>
      </c>
      <c r="AL42" s="74">
        <f>IFERROR((AJ42-AG42)/ABS(AG42), 0)</f>
        <v/>
      </c>
      <c r="AM42" s="27">
        <f>C42+F42+I42+L42+O42+R42+U42+X42+AA42+AD42+AG42+AJ42</f>
        <v/>
      </c>
      <c r="AN42" s="73">
        <f>AM42/$AM$3</f>
        <v/>
      </c>
      <c r="AO42" s="27" t="n"/>
      <c r="AP42" s="27">
        <f>AM42/12</f>
        <v/>
      </c>
    </row>
    <row r="43">
      <c r="A43" s="2" t="n"/>
      <c r="B43" s="34" t="n"/>
      <c r="C43" s="50" t="n"/>
      <c r="D43" s="50" t="n"/>
      <c r="E43" s="51" t="n"/>
      <c r="F43" s="50" t="n"/>
      <c r="G43" s="50" t="n"/>
      <c r="H43" s="51" t="n"/>
      <c r="I43" s="50" t="n"/>
      <c r="J43" s="50" t="n"/>
      <c r="K43" s="51" t="n"/>
      <c r="L43" s="50" t="n"/>
      <c r="M43" s="50" t="n"/>
      <c r="N43" s="51" t="n"/>
      <c r="O43" s="50" t="n"/>
      <c r="P43" s="50" t="n"/>
      <c r="Q43" s="51" t="n"/>
      <c r="R43" s="50" t="n"/>
      <c r="S43" s="50" t="n"/>
      <c r="T43" s="51" t="n"/>
      <c r="U43" s="50" t="n"/>
      <c r="V43" s="50" t="n"/>
      <c r="W43" s="51" t="n"/>
      <c r="X43" s="50" t="n"/>
      <c r="Y43" s="50" t="n"/>
      <c r="Z43" s="51" t="n"/>
      <c r="AA43" s="50" t="n"/>
      <c r="AB43" s="50" t="n"/>
      <c r="AC43" s="51" t="n"/>
      <c r="AD43" s="50" t="n"/>
      <c r="AE43" s="50" t="n"/>
      <c r="AF43" s="51" t="n"/>
      <c r="AG43" s="50" t="n"/>
      <c r="AH43" s="50" t="n"/>
      <c r="AI43" s="51" t="n"/>
      <c r="AJ43" s="50" t="n"/>
      <c r="AK43" s="50" t="n"/>
      <c r="AL43" s="51" t="n"/>
      <c r="AM43" s="50">
        <f>C43+F43+I43+L43+O43+R43+U43+X43+AA43+AD43+AG43+AJ43</f>
        <v/>
      </c>
      <c r="AN43" s="78">
        <f>AM43/$AM$3</f>
        <v/>
      </c>
      <c r="AO43" s="50" t="n"/>
      <c r="AP43" s="50">
        <f>AM43/12</f>
        <v/>
      </c>
    </row>
    <row r="44">
      <c r="A44" s="13" t="inlineStr">
        <is>
          <t>(+/-)</t>
        </is>
      </c>
      <c r="B44" s="14" t="inlineStr">
        <is>
          <t>REC/DESP.NÃO OPERACIONAIS</t>
        </is>
      </c>
      <c r="C44" s="15">
        <f>C45+C46</f>
        <v/>
      </c>
      <c r="D44" s="68">
        <f>C44/$C$3</f>
        <v/>
      </c>
      <c r="E44" s="16" t="n"/>
      <c r="F44" s="15">
        <f>F45+F46</f>
        <v/>
      </c>
      <c r="G44" s="68">
        <f>F44/$F$3</f>
        <v/>
      </c>
      <c r="H44" s="69">
        <f>IFERROR((F44-C44)/ABS(C44), 0)</f>
        <v/>
      </c>
      <c r="I44" s="15">
        <f>I45+I46</f>
        <v/>
      </c>
      <c r="J44" s="68">
        <f>I44/$I$3</f>
        <v/>
      </c>
      <c r="K44" s="69">
        <f>IFERROR((I44-F44)/ABS(F44), 0)</f>
        <v/>
      </c>
      <c r="L44" s="15">
        <f>L45+L46</f>
        <v/>
      </c>
      <c r="M44" s="68">
        <f>L44/$L$3</f>
        <v/>
      </c>
      <c r="N44" s="69">
        <f>IFERROR((L44-I44)/ABS(I44), 0)</f>
        <v/>
      </c>
      <c r="O44" s="15">
        <f>O45+O46</f>
        <v/>
      </c>
      <c r="P44" s="68">
        <f>O44/$O$3</f>
        <v/>
      </c>
      <c r="Q44" s="69">
        <f>IFERROR((O44-L44)/ABS(L44), 0)</f>
        <v/>
      </c>
      <c r="R44" s="15">
        <f>R45+R46</f>
        <v/>
      </c>
      <c r="S44" s="68">
        <f>R44/$R$3</f>
        <v/>
      </c>
      <c r="T44" s="69">
        <f>IFERROR((R44-O44)/ABS(O44), 0)</f>
        <v/>
      </c>
      <c r="U44" s="15">
        <f>U45+U46</f>
        <v/>
      </c>
      <c r="V44" s="68">
        <f>U44/$U$3</f>
        <v/>
      </c>
      <c r="W44" s="69">
        <f>IFERROR((U44-R44)/ABS(R44), 0)</f>
        <v/>
      </c>
      <c r="X44" s="15">
        <f>X45+X46</f>
        <v/>
      </c>
      <c r="Y44" s="68">
        <f>X44/$X$3</f>
        <v/>
      </c>
      <c r="Z44" s="69">
        <f>IFERROR((X44-U44)/ABS(U44), 0)</f>
        <v/>
      </c>
      <c r="AA44" s="15">
        <f>AA45+AA46</f>
        <v/>
      </c>
      <c r="AB44" s="68">
        <f>AA44/$AA$3</f>
        <v/>
      </c>
      <c r="AC44" s="69">
        <f>IFERROR((AA44-X44)/ABS(X44), 0)</f>
        <v/>
      </c>
      <c r="AD44" s="15">
        <f>AD45+AD46</f>
        <v/>
      </c>
      <c r="AE44" s="68">
        <f>AD44/$AD$3</f>
        <v/>
      </c>
      <c r="AF44" s="69">
        <f>IFERROR((AD44-AA44)/ABS(AA44), 0)</f>
        <v/>
      </c>
      <c r="AG44" s="15">
        <f>AG45+AG46</f>
        <v/>
      </c>
      <c r="AH44" s="68">
        <f>AG44/$AG$3</f>
        <v/>
      </c>
      <c r="AI44" s="69">
        <f>IFERROR((AG44-AD44)/ABS(AD44), 0)</f>
        <v/>
      </c>
      <c r="AJ44" s="15">
        <f>AJ45+AJ46</f>
        <v/>
      </c>
      <c r="AK44" s="68">
        <f>AJ44/$AJ$3</f>
        <v/>
      </c>
      <c r="AL44" s="69">
        <f>IFERROR((AJ44-AG44)/ABS(AG44), 0)</f>
        <v/>
      </c>
      <c r="AM44" s="15">
        <f>C44+F44+I44+L44+O44+R44+U44+X44+AA44+AD44+AG44+AJ44</f>
        <v/>
      </c>
      <c r="AN44" s="68">
        <f>AM44/$AM$3</f>
        <v/>
      </c>
      <c r="AO44" s="15" t="n"/>
      <c r="AP44" s="15">
        <f>AM44/12</f>
        <v/>
      </c>
    </row>
    <row r="45">
      <c r="A45" s="17" t="n"/>
      <c r="B45" s="18" t="inlineStr">
        <is>
          <t>Juros Pagos em emprestimos</t>
        </is>
      </c>
      <c r="C45" s="19" t="n">
        <v>-1202.4</v>
      </c>
      <c r="D45" s="70">
        <f>C45/$C$3</f>
        <v/>
      </c>
      <c r="E45" s="20" t="n"/>
      <c r="F45" s="19" t="n">
        <v>-1400.4</v>
      </c>
      <c r="G45" s="70">
        <f>F45/$F$3</f>
        <v/>
      </c>
      <c r="H45" s="71">
        <f>IFERROR((F45-C45)/ABS(C45), 0)</f>
        <v/>
      </c>
      <c r="I45" s="19" t="n">
        <v>-1586.4</v>
      </c>
      <c r="J45" s="70">
        <f>I45/$I$3</f>
        <v/>
      </c>
      <c r="K45" s="71">
        <f>IFERROR((I45-F45)/ABS(F45), 0)</f>
        <v/>
      </c>
      <c r="L45" s="19" t="n">
        <v>-1598.076</v>
      </c>
      <c r="M45" s="70">
        <f>L45/$L$3</f>
        <v/>
      </c>
      <c r="N45" s="71">
        <f>IFERROR((L45-I45)/ABS(I45), 0)</f>
        <v/>
      </c>
      <c r="O45" s="19" t="n">
        <v>-1400.4</v>
      </c>
      <c r="P45" s="70">
        <f>O45/$O$3</f>
        <v/>
      </c>
      <c r="Q45" s="71">
        <f>IFERROR((O45-L45)/ABS(L45), 0)</f>
        <v/>
      </c>
      <c r="R45" s="19" t="n">
        <v>-1400.4</v>
      </c>
      <c r="S45" s="70">
        <f>R45/$R$3</f>
        <v/>
      </c>
      <c r="T45" s="71">
        <f>IFERROR((R45-O45)/ABS(O45), 0)</f>
        <v/>
      </c>
      <c r="U45" s="19" t="n">
        <v>-1202.4</v>
      </c>
      <c r="V45" s="70">
        <f>U45/$U$3</f>
        <v/>
      </c>
      <c r="W45" s="71">
        <f>IFERROR((U45-R45)/ABS(R45), 0)</f>
        <v/>
      </c>
      <c r="X45" s="19" t="n">
        <v>-1202.4</v>
      </c>
      <c r="Y45" s="70">
        <f>X45/$X$3</f>
        <v/>
      </c>
      <c r="Z45" s="71">
        <f>IFERROR((X45-U45)/ABS(U45), 0)</f>
        <v/>
      </c>
      <c r="AA45" s="19" t="n">
        <v>-1202.4</v>
      </c>
      <c r="AB45" s="70">
        <f>AA45/$AA$3</f>
        <v/>
      </c>
      <c r="AC45" s="71">
        <f>IFERROR((AA45-X45)/ABS(X45), 0)</f>
        <v/>
      </c>
      <c r="AD45" s="19" t="n">
        <v>-1568.4</v>
      </c>
      <c r="AE45" s="70">
        <f>AD45/$AD$3</f>
        <v/>
      </c>
      <c r="AF45" s="71">
        <f>IFERROR((AD45-AA45)/ABS(AA45), 0)</f>
        <v/>
      </c>
      <c r="AG45" s="19" t="n">
        <v>-1568.4</v>
      </c>
      <c r="AH45" s="70">
        <f>AG45/$AG$3</f>
        <v/>
      </c>
      <c r="AI45" s="71">
        <f>IFERROR((AG45-AD45)/ABS(AD45), 0)</f>
        <v/>
      </c>
      <c r="AJ45" s="19" t="n">
        <v>-1255.2</v>
      </c>
      <c r="AK45" s="70">
        <f>AJ45/$AJ$3</f>
        <v/>
      </c>
      <c r="AL45" s="71">
        <f>IFERROR((AJ45-AG45)/ABS(AG45), 0)</f>
        <v/>
      </c>
      <c r="AM45" s="19">
        <f>C45+F45+I45+L45+O45+R45+U45+X45+AA45+AD45+AG45+AJ45</f>
        <v/>
      </c>
      <c r="AN45" s="70">
        <f>AM45/$AM$3</f>
        <v/>
      </c>
      <c r="AO45" s="19" t="n"/>
      <c r="AP45" s="19">
        <f>AM45/12</f>
        <v/>
      </c>
    </row>
    <row r="46">
      <c r="A46" s="17" t="n"/>
      <c r="B46" s="18" t="inlineStr">
        <is>
          <t>Juros recebidos de clientes</t>
        </is>
      </c>
      <c r="C46" s="19" t="n">
        <v>497.889</v>
      </c>
      <c r="D46" s="70">
        <f>C46/$C$3</f>
        <v/>
      </c>
      <c r="E46" s="20" t="n"/>
      <c r="F46" s="19" t="n">
        <v>335.202</v>
      </c>
      <c r="G46" s="70">
        <f>F46/$F$3</f>
        <v/>
      </c>
      <c r="H46" s="71">
        <f>IFERROR((F46-C46)/ABS(C46), 0)</f>
        <v/>
      </c>
      <c r="I46" s="19" t="n">
        <v>114.24</v>
      </c>
      <c r="J46" s="70">
        <f>I46/$I$3</f>
        <v/>
      </c>
      <c r="K46" s="71">
        <f>IFERROR((I46-F46)/ABS(F46), 0)</f>
        <v/>
      </c>
      <c r="L46" s="19" t="n">
        <v>0</v>
      </c>
      <c r="M46" s="19" t="n"/>
      <c r="N46" s="71">
        <f>IFERROR((L46-I46)/ABS(I46), 0)</f>
        <v/>
      </c>
      <c r="O46" s="19" t="n">
        <v>0</v>
      </c>
      <c r="P46" s="19" t="n"/>
      <c r="Q46" s="71">
        <f>IFERROR((O46-L46)/ABS(L46), 0)</f>
        <v/>
      </c>
      <c r="R46" s="19" t="n">
        <v>0</v>
      </c>
      <c r="S46" s="19" t="n"/>
      <c r="T46" s="71">
        <f>IFERROR((R46-O46)/ABS(O46), 0)</f>
        <v/>
      </c>
      <c r="U46" s="19" t="n">
        <v>0</v>
      </c>
      <c r="V46" s="19" t="n"/>
      <c r="W46" s="71">
        <f>IFERROR((U46-R46)/ABS(R46), 0)</f>
        <v/>
      </c>
      <c r="X46" s="19" t="n">
        <v>0</v>
      </c>
      <c r="Y46" s="19" t="n"/>
      <c r="Z46" s="71">
        <f>IFERROR((X46-U46)/ABS(U46), 0)</f>
        <v/>
      </c>
      <c r="AA46" s="19" t="n">
        <v>0</v>
      </c>
      <c r="AB46" s="19" t="n"/>
      <c r="AC46" s="71">
        <f>IFERROR((AA46-X46)/ABS(X46), 0)</f>
        <v/>
      </c>
      <c r="AD46" s="19" t="n">
        <v>0</v>
      </c>
      <c r="AE46" s="19" t="n"/>
      <c r="AF46" s="71">
        <f>IFERROR((AD46-AA46)/ABS(AA46), 0)</f>
        <v/>
      </c>
      <c r="AG46" s="19" t="n">
        <v>0</v>
      </c>
      <c r="AH46" s="19" t="n"/>
      <c r="AI46" s="71">
        <f>IFERROR((AG46-AD46)/ABS(AD46), 0)</f>
        <v/>
      </c>
      <c r="AJ46" s="19" t="n">
        <v>0</v>
      </c>
      <c r="AK46" s="19" t="n"/>
      <c r="AL46" s="71">
        <f>IFERROR((AJ46-AG46)/ABS(AG46), 0)</f>
        <v/>
      </c>
      <c r="AM46" s="19">
        <f>C46+F46+I46+L46+O46+R46+U46+X46+AA46+AD46+AG46+AJ46</f>
        <v/>
      </c>
      <c r="AN46" s="70">
        <f>AM46/$AM$3</f>
        <v/>
      </c>
      <c r="AO46" s="19" t="n"/>
      <c r="AP46" s="19">
        <f>AM46/12</f>
        <v/>
      </c>
    </row>
    <row r="47">
      <c r="A47" s="2" t="n"/>
      <c r="B47" s="34" t="n"/>
      <c r="C47" s="50" t="n"/>
      <c r="D47" s="50" t="n"/>
      <c r="E47" s="51" t="n"/>
      <c r="F47" s="50" t="n"/>
      <c r="G47" s="50" t="n"/>
      <c r="H47" s="51" t="n"/>
      <c r="I47" s="50" t="n"/>
      <c r="J47" s="50" t="n"/>
      <c r="K47" s="51" t="n"/>
      <c r="L47" s="50" t="n"/>
      <c r="M47" s="50" t="n"/>
      <c r="N47" s="51" t="n"/>
      <c r="O47" s="50" t="n"/>
      <c r="P47" s="50" t="n"/>
      <c r="Q47" s="51" t="n"/>
      <c r="R47" s="50" t="n"/>
      <c r="S47" s="50" t="n"/>
      <c r="T47" s="51" t="n"/>
      <c r="U47" s="50" t="n"/>
      <c r="V47" s="50" t="n"/>
      <c r="W47" s="51" t="n"/>
      <c r="X47" s="50" t="n"/>
      <c r="Y47" s="50" t="n"/>
      <c r="Z47" s="51" t="n"/>
      <c r="AA47" s="50" t="n"/>
      <c r="AB47" s="50" t="n"/>
      <c r="AC47" s="51" t="n"/>
      <c r="AD47" s="50" t="n"/>
      <c r="AE47" s="50" t="n"/>
      <c r="AF47" s="51" t="n"/>
      <c r="AG47" s="50" t="n"/>
      <c r="AH47" s="50" t="n"/>
      <c r="AI47" s="51" t="n"/>
      <c r="AJ47" s="50" t="n"/>
      <c r="AK47" s="50" t="n"/>
      <c r="AL47" s="51" t="n"/>
      <c r="AM47" s="50">
        <f>C47+F47+I47+L47+O47+R47+U47+X47+AA47+AD47+AG47+AJ47</f>
        <v/>
      </c>
      <c r="AN47" s="78">
        <f>AM47/$AM$3</f>
        <v/>
      </c>
      <c r="AO47" s="50" t="n"/>
      <c r="AP47" s="50">
        <f>AM47/12</f>
        <v/>
      </c>
    </row>
    <row r="48">
      <c r="A48" s="25" t="inlineStr">
        <is>
          <t>(=)</t>
        </is>
      </c>
      <c r="B48" s="26" t="inlineStr">
        <is>
          <t>LUCRO LÍQUIDO</t>
        </is>
      </c>
      <c r="C48" s="27">
        <f>C42+C44</f>
        <v/>
      </c>
      <c r="D48" s="73">
        <f>C48/$C$3</f>
        <v/>
      </c>
      <c r="E48" s="28" t="n"/>
      <c r="F48" s="27">
        <f>F42+F44</f>
        <v/>
      </c>
      <c r="G48" s="73">
        <f>F48/$F$3</f>
        <v/>
      </c>
      <c r="H48" s="74">
        <f>IFERROR((F48-C48)/ABS(C48), 0)</f>
        <v/>
      </c>
      <c r="I48" s="27">
        <f>I42+I44</f>
        <v/>
      </c>
      <c r="J48" s="73">
        <f>I48/$I$3</f>
        <v/>
      </c>
      <c r="K48" s="74">
        <f>IFERROR((I48-F48)/ABS(F48), 0)</f>
        <v/>
      </c>
      <c r="L48" s="27">
        <f>L42+L44</f>
        <v/>
      </c>
      <c r="M48" s="73">
        <f>L48/$L$3</f>
        <v/>
      </c>
      <c r="N48" s="74">
        <f>IFERROR((L48-I48)/ABS(I48), 0)</f>
        <v/>
      </c>
      <c r="O48" s="27">
        <f>O42+O44</f>
        <v/>
      </c>
      <c r="P48" s="73">
        <f>O48/$O$3</f>
        <v/>
      </c>
      <c r="Q48" s="74">
        <f>IFERROR((O48-L48)/ABS(L48), 0)</f>
        <v/>
      </c>
      <c r="R48" s="27">
        <f>R42+R44</f>
        <v/>
      </c>
      <c r="S48" s="73">
        <f>R48/$R$3</f>
        <v/>
      </c>
      <c r="T48" s="74">
        <f>IFERROR((R48-O48)/ABS(O48), 0)</f>
        <v/>
      </c>
      <c r="U48" s="27">
        <f>U42+U44</f>
        <v/>
      </c>
      <c r="V48" s="73">
        <f>U48/$U$3</f>
        <v/>
      </c>
      <c r="W48" s="74">
        <f>IFERROR((U48-R48)/ABS(R48), 0)</f>
        <v/>
      </c>
      <c r="X48" s="27">
        <f>X42+X44</f>
        <v/>
      </c>
      <c r="Y48" s="73">
        <f>X48/$X$3</f>
        <v/>
      </c>
      <c r="Z48" s="74">
        <f>IFERROR((X48-U48)/ABS(U48), 0)</f>
        <v/>
      </c>
      <c r="AA48" s="27">
        <f>AA42+AA44</f>
        <v/>
      </c>
      <c r="AB48" s="73">
        <f>AA48/$AA$3</f>
        <v/>
      </c>
      <c r="AC48" s="74">
        <f>IFERROR((AA48-X48)/ABS(X48), 0)</f>
        <v/>
      </c>
      <c r="AD48" s="27">
        <f>AD42+AD44</f>
        <v/>
      </c>
      <c r="AE48" s="73">
        <f>AD48/$AD$3</f>
        <v/>
      </c>
      <c r="AF48" s="74">
        <f>IFERROR((AD48-AA48)/ABS(AA48), 0)</f>
        <v/>
      </c>
      <c r="AG48" s="27">
        <f>AG42+AG44</f>
        <v/>
      </c>
      <c r="AH48" s="73">
        <f>AG48/$AG$3</f>
        <v/>
      </c>
      <c r="AI48" s="74">
        <f>IFERROR((AG48-AD48)/ABS(AD48), 0)</f>
        <v/>
      </c>
      <c r="AJ48" s="27">
        <f>AJ42+AJ44</f>
        <v/>
      </c>
      <c r="AK48" s="73">
        <f>AJ48/$AJ$3</f>
        <v/>
      </c>
      <c r="AL48" s="74">
        <f>IFERROR((AJ48-AG48)/ABS(AG48), 0)</f>
        <v/>
      </c>
      <c r="AM48" s="27">
        <f>C48+F48+I48+L48+O48+R48+U48+X48+AA48+AD48+AG48+AJ48</f>
        <v/>
      </c>
      <c r="AN48" s="73">
        <f>AM48/$AM$3</f>
        <v/>
      </c>
      <c r="AO48" s="27" t="n"/>
      <c r="AP48" s="27">
        <f>AM48/12</f>
        <v/>
      </c>
    </row>
    <row r="49">
      <c r="A49" s="2" t="n"/>
      <c r="B49" s="34" t="n"/>
      <c r="C49" s="50" t="n"/>
      <c r="D49" s="50" t="n"/>
      <c r="E49" s="51" t="n"/>
      <c r="F49" s="50" t="n"/>
      <c r="G49" s="50" t="n"/>
      <c r="H49" s="51" t="n"/>
      <c r="I49" s="50" t="n"/>
      <c r="J49" s="50" t="n"/>
      <c r="K49" s="51" t="n"/>
      <c r="L49" s="50" t="n"/>
      <c r="M49" s="50" t="n"/>
      <c r="N49" s="51" t="n"/>
      <c r="O49" s="50" t="n"/>
      <c r="P49" s="50" t="n"/>
      <c r="Q49" s="51" t="n"/>
      <c r="R49" s="50" t="n"/>
      <c r="S49" s="50" t="n"/>
      <c r="T49" s="51" t="n"/>
      <c r="U49" s="50" t="n"/>
      <c r="V49" s="50" t="n"/>
      <c r="W49" s="51" t="n"/>
      <c r="X49" s="50" t="n"/>
      <c r="Y49" s="50" t="n"/>
      <c r="Z49" s="51" t="n"/>
      <c r="AA49" s="50" t="n"/>
      <c r="AB49" s="50" t="n"/>
      <c r="AC49" s="51" t="n"/>
      <c r="AD49" s="50" t="n"/>
      <c r="AE49" s="50" t="n"/>
      <c r="AF49" s="51" t="n"/>
      <c r="AG49" s="50" t="n"/>
      <c r="AH49" s="50" t="n"/>
      <c r="AI49" s="51" t="n"/>
      <c r="AJ49" s="50" t="n"/>
      <c r="AK49" s="50" t="n"/>
      <c r="AL49" s="51" t="n"/>
      <c r="AM49" s="50">
        <f>C49+F49+I49+L49+O49+R49+U49+X49+AA49+AD49+AG49+AJ49</f>
        <v/>
      </c>
      <c r="AN49" s="78">
        <f>AM49/$AM$3</f>
        <v/>
      </c>
      <c r="AO49" s="50" t="n"/>
      <c r="AP49" s="50">
        <f>AM49/12</f>
        <v/>
      </c>
    </row>
    <row r="50" ht="16.5" customHeight="1" thickBot="1">
      <c r="A50" s="37" t="n"/>
      <c r="B50" s="38" t="inlineStr">
        <is>
          <t>Informações extra DRE</t>
        </is>
      </c>
      <c r="C50" s="39" t="n"/>
      <c r="D50" s="39" t="n"/>
      <c r="E50" s="40" t="n"/>
      <c r="F50" s="39" t="n"/>
      <c r="G50" s="39" t="n"/>
      <c r="H50" s="40" t="n"/>
      <c r="I50" s="39" t="n"/>
      <c r="J50" s="39" t="n"/>
      <c r="K50" s="40" t="n"/>
      <c r="L50" s="39" t="n"/>
      <c r="M50" s="39" t="n"/>
      <c r="N50" s="40" t="n"/>
      <c r="O50" s="39" t="n"/>
      <c r="P50" s="39" t="n"/>
      <c r="Q50" s="40" t="n"/>
      <c r="R50" s="39" t="n"/>
      <c r="S50" s="39" t="n"/>
      <c r="T50" s="40" t="n"/>
      <c r="U50" s="39" t="n"/>
      <c r="V50" s="39" t="n"/>
      <c r="W50" s="40" t="n"/>
      <c r="X50" s="39" t="n"/>
      <c r="Y50" s="39" t="n"/>
      <c r="Z50" s="40" t="n"/>
      <c r="AA50" s="39" t="n"/>
      <c r="AB50" s="39" t="n"/>
      <c r="AC50" s="40" t="n"/>
      <c r="AD50" s="39" t="n"/>
      <c r="AE50" s="39" t="n"/>
      <c r="AF50" s="40" t="n"/>
      <c r="AG50" s="39" t="n"/>
      <c r="AH50" s="39" t="n"/>
      <c r="AI50" s="40" t="n"/>
      <c r="AJ50" s="39" t="n"/>
      <c r="AK50" s="39" t="n"/>
      <c r="AL50" s="40" t="n"/>
      <c r="AM50" s="39">
        <f>C50+F50+I50+L50+O50+R50+U50+X50+AA50+AD50+AG50+AJ50</f>
        <v/>
      </c>
      <c r="AN50" s="79">
        <f>AM50/$AM$3</f>
        <v/>
      </c>
      <c r="AO50" s="39" t="n"/>
      <c r="AP50" s="39">
        <f>AM50/12</f>
        <v/>
      </c>
    </row>
    <row r="51">
      <c r="A51" s="2" t="n"/>
      <c r="B51" s="34" t="n"/>
      <c r="C51" s="50" t="n"/>
      <c r="D51" s="50" t="n"/>
      <c r="E51" s="51" t="n"/>
      <c r="F51" s="50" t="n"/>
      <c r="G51" s="50" t="n"/>
      <c r="H51" s="51" t="n"/>
      <c r="I51" s="50" t="n"/>
      <c r="J51" s="50" t="n"/>
      <c r="K51" s="51" t="n"/>
      <c r="L51" s="50" t="n"/>
      <c r="M51" s="50" t="n"/>
      <c r="N51" s="51" t="n"/>
      <c r="O51" s="50" t="n"/>
      <c r="P51" s="50" t="n"/>
      <c r="Q51" s="51" t="n"/>
      <c r="R51" s="50" t="n"/>
      <c r="S51" s="50" t="n"/>
      <c r="T51" s="51" t="n"/>
      <c r="U51" s="50" t="n"/>
      <c r="V51" s="50" t="n"/>
      <c r="W51" s="51" t="n"/>
      <c r="X51" s="50" t="n"/>
      <c r="Y51" s="50" t="n"/>
      <c r="Z51" s="51" t="n"/>
      <c r="AA51" s="50" t="n"/>
      <c r="AB51" s="50" t="n"/>
      <c r="AC51" s="51" t="n"/>
      <c r="AD51" s="50" t="n"/>
      <c r="AE51" s="50" t="n"/>
      <c r="AF51" s="51" t="n"/>
      <c r="AG51" s="50" t="n"/>
      <c r="AH51" s="50" t="n"/>
      <c r="AI51" s="51" t="n"/>
      <c r="AJ51" s="50" t="n"/>
      <c r="AK51" s="50" t="n"/>
      <c r="AL51" s="51" t="n"/>
      <c r="AM51" s="50">
        <f>C51+F51+I51+L51+O51+R51+U51+X51+AA51+AD51+AG51+AJ51</f>
        <v/>
      </c>
      <c r="AN51" s="78">
        <f>AM51/$AM$3</f>
        <v/>
      </c>
      <c r="AO51" s="50" t="n"/>
      <c r="AP51" s="50">
        <f>AM51/12</f>
        <v/>
      </c>
    </row>
    <row r="52">
      <c r="A52" s="41" t="inlineStr">
        <is>
          <t>(-)</t>
        </is>
      </c>
      <c r="B52" s="42" t="inlineStr">
        <is>
          <t>INVESTIMENTO</t>
        </is>
      </c>
      <c r="C52" s="43">
        <f>C53+C54</f>
        <v/>
      </c>
      <c r="D52" s="80">
        <f>C52/$C$3</f>
        <v/>
      </c>
      <c r="E52" s="44" t="n"/>
      <c r="F52" s="43">
        <f>F53+F54</f>
        <v/>
      </c>
      <c r="G52" s="80">
        <f>F52/$F$3</f>
        <v/>
      </c>
      <c r="H52" s="81">
        <f>IFERROR((F52-C52)/ABS(C52), 0)</f>
        <v/>
      </c>
      <c r="I52" s="43">
        <f>I53+I54</f>
        <v/>
      </c>
      <c r="J52" s="80">
        <f>I52/$I$3</f>
        <v/>
      </c>
      <c r="K52" s="81">
        <f>IFERROR((I52-F52)/ABS(F52), 0)</f>
        <v/>
      </c>
      <c r="L52" s="43">
        <f>L53+L54</f>
        <v/>
      </c>
      <c r="M52" s="80">
        <f>L52/$L$3</f>
        <v/>
      </c>
      <c r="N52" s="81">
        <f>IFERROR((L52-I52)/ABS(I52), 0)</f>
        <v/>
      </c>
      <c r="O52" s="43">
        <f>O53+O54</f>
        <v/>
      </c>
      <c r="P52" s="80">
        <f>O52/$O$3</f>
        <v/>
      </c>
      <c r="Q52" s="81">
        <f>IFERROR((O52-L52)/ABS(L52), 0)</f>
        <v/>
      </c>
      <c r="R52" s="43">
        <f>R53+R54</f>
        <v/>
      </c>
      <c r="S52" s="80">
        <f>R52/$R$3</f>
        <v/>
      </c>
      <c r="T52" s="81">
        <f>IFERROR((R52-O52)/ABS(O52), 0)</f>
        <v/>
      </c>
      <c r="U52" s="43">
        <f>U53+U54</f>
        <v/>
      </c>
      <c r="V52" s="80">
        <f>U52/$U$3</f>
        <v/>
      </c>
      <c r="W52" s="81">
        <f>IFERROR((U52-R52)/ABS(R52), 0)</f>
        <v/>
      </c>
      <c r="X52" s="43">
        <f>X53+X54</f>
        <v/>
      </c>
      <c r="Y52" s="80">
        <f>X52/$X$3</f>
        <v/>
      </c>
      <c r="Z52" s="81">
        <f>IFERROR((X52-U52)/ABS(U52), 0)</f>
        <v/>
      </c>
      <c r="AA52" s="43">
        <f>AA53+AA54</f>
        <v/>
      </c>
      <c r="AB52" s="80">
        <f>AA52/$AA$3</f>
        <v/>
      </c>
      <c r="AC52" s="81">
        <f>IFERROR((AA52-X52)/ABS(X52), 0)</f>
        <v/>
      </c>
      <c r="AD52" s="43">
        <f>AD53+AD54</f>
        <v/>
      </c>
      <c r="AE52" s="80">
        <f>AD52/$AD$3</f>
        <v/>
      </c>
      <c r="AF52" s="81">
        <f>IFERROR((AD52-AA52)/ABS(AA52), 0)</f>
        <v/>
      </c>
      <c r="AG52" s="43">
        <f>AG53+AG54</f>
        <v/>
      </c>
      <c r="AH52" s="80">
        <f>AG52/$AG$3</f>
        <v/>
      </c>
      <c r="AI52" s="81">
        <f>IFERROR((AG52-AD52)/ABS(AD52), 0)</f>
        <v/>
      </c>
      <c r="AJ52" s="43">
        <f>AJ53+AJ54</f>
        <v/>
      </c>
      <c r="AK52" s="80">
        <f>AJ52/$AJ$3</f>
        <v/>
      </c>
      <c r="AL52" s="81">
        <f>IFERROR((AJ52-AG52)/ABS(AG52), 0)</f>
        <v/>
      </c>
      <c r="AM52" s="43">
        <f>C52+F52+I52+L52+O52+R52+U52+X52+AA52+AD52+AG52+AJ52</f>
        <v/>
      </c>
      <c r="AN52" s="80">
        <f>AM52/$AM$3</f>
        <v/>
      </c>
      <c r="AO52" s="43" t="n"/>
      <c r="AP52" s="43">
        <f>AM52/12</f>
        <v/>
      </c>
    </row>
    <row r="53">
      <c r="A53" s="45" t="n"/>
      <c r="B53" s="46" t="inlineStr">
        <is>
          <t>Aquisição de automóvel</t>
        </is>
      </c>
      <c r="C53" s="47" t="n">
        <v>0</v>
      </c>
      <c r="D53" s="47" t="n"/>
      <c r="E53" s="48" t="n"/>
      <c r="F53" s="47" t="n">
        <v>0</v>
      </c>
      <c r="G53" s="47" t="n"/>
      <c r="H53" s="82">
        <f>IFERROR((F53-C53)/ABS(C53), 0)</f>
        <v/>
      </c>
      <c r="I53" s="47" t="n">
        <v>0</v>
      </c>
      <c r="J53" s="47" t="n"/>
      <c r="K53" s="82">
        <f>IFERROR((I53-F53)/ABS(F53), 0)</f>
        <v/>
      </c>
      <c r="L53" s="47" t="n">
        <v>0</v>
      </c>
      <c r="M53" s="47" t="n"/>
      <c r="N53" s="82">
        <f>IFERROR((L53-I53)/ABS(I53), 0)</f>
        <v/>
      </c>
      <c r="O53" s="47" t="n">
        <v>-220000</v>
      </c>
      <c r="P53" s="83">
        <f>O53/$O$3</f>
        <v/>
      </c>
      <c r="Q53" s="82">
        <f>IFERROR((O53-L53)/ABS(L53), 0)</f>
        <v/>
      </c>
      <c r="R53" s="47" t="n">
        <v>0</v>
      </c>
      <c r="S53" s="47" t="n"/>
      <c r="T53" s="82">
        <f>IFERROR((R53-O53)/ABS(O53), 0)</f>
        <v/>
      </c>
      <c r="U53" s="47" t="n">
        <v>0</v>
      </c>
      <c r="V53" s="47" t="n"/>
      <c r="W53" s="82">
        <f>IFERROR((U53-R53)/ABS(R53), 0)</f>
        <v/>
      </c>
      <c r="X53" s="47" t="n">
        <v>0</v>
      </c>
      <c r="Y53" s="47" t="n"/>
      <c r="Z53" s="82">
        <f>IFERROR((X53-U53)/ABS(U53), 0)</f>
        <v/>
      </c>
      <c r="AA53" s="47" t="n">
        <v>0</v>
      </c>
      <c r="AB53" s="47" t="n"/>
      <c r="AC53" s="82">
        <f>IFERROR((AA53-X53)/ABS(X53), 0)</f>
        <v/>
      </c>
      <c r="AD53" s="47" t="n">
        <v>0</v>
      </c>
      <c r="AE53" s="47" t="n"/>
      <c r="AF53" s="82">
        <f>IFERROR((AD53-AA53)/ABS(AA53), 0)</f>
        <v/>
      </c>
      <c r="AG53" s="47" t="n">
        <v>0</v>
      </c>
      <c r="AH53" s="47" t="n"/>
      <c r="AI53" s="82">
        <f>IFERROR((AG53-AD53)/ABS(AD53), 0)</f>
        <v/>
      </c>
      <c r="AJ53" s="47" t="n">
        <v>0</v>
      </c>
      <c r="AK53" s="47" t="n"/>
      <c r="AL53" s="82">
        <f>IFERROR((AJ53-AG53)/ABS(AG53), 0)</f>
        <v/>
      </c>
      <c r="AM53" s="47">
        <f>C53+F53+I53+L53+O53+R53+U53+X53+AA53+AD53+AG53+AJ53</f>
        <v/>
      </c>
      <c r="AN53" s="83">
        <f>AM53/$AM$3</f>
        <v/>
      </c>
      <c r="AO53" s="47" t="n"/>
      <c r="AP53" s="47">
        <f>AM53/12</f>
        <v/>
      </c>
    </row>
    <row r="54">
      <c r="A54" s="45" t="n"/>
      <c r="B54" s="46" t="inlineStr">
        <is>
          <t>Equipamentos de escritorio</t>
        </is>
      </c>
      <c r="C54" s="47" t="n">
        <v>0</v>
      </c>
      <c r="D54" s="47" t="n"/>
      <c r="E54" s="49" t="n"/>
      <c r="F54" s="47" t="n">
        <v>0</v>
      </c>
      <c r="G54" s="47" t="n"/>
      <c r="H54" s="82">
        <f>IFERROR((F54-C54)/ABS(C54), 0)</f>
        <v/>
      </c>
      <c r="I54" s="47" t="n">
        <v>-1280</v>
      </c>
      <c r="J54" s="83">
        <f>I54/$I$3</f>
        <v/>
      </c>
      <c r="K54" s="82">
        <f>IFERROR((I54-F54)/ABS(F54), 0)</f>
        <v/>
      </c>
      <c r="L54" s="47" t="n">
        <v>0</v>
      </c>
      <c r="M54" s="47" t="n"/>
      <c r="N54" s="82">
        <f>IFERROR((L54-I54)/ABS(I54), 0)</f>
        <v/>
      </c>
      <c r="O54" s="47" t="n">
        <v>-11000</v>
      </c>
      <c r="P54" s="83">
        <f>O54/$O$3</f>
        <v/>
      </c>
      <c r="Q54" s="82">
        <f>IFERROR((O54-L54)/ABS(L54), 0)</f>
        <v/>
      </c>
      <c r="R54" s="47" t="n">
        <v>0</v>
      </c>
      <c r="S54" s="47" t="n"/>
      <c r="T54" s="82">
        <f>IFERROR((R54-O54)/ABS(O54), 0)</f>
        <v/>
      </c>
      <c r="U54" s="47" t="n">
        <v>-13145</v>
      </c>
      <c r="V54" s="83">
        <f>U54/$U$3</f>
        <v/>
      </c>
      <c r="W54" s="82">
        <f>IFERROR((U54-R54)/ABS(R54), 0)</f>
        <v/>
      </c>
      <c r="X54" s="47" t="n">
        <v>0</v>
      </c>
      <c r="Y54" s="47" t="n"/>
      <c r="Z54" s="82">
        <f>IFERROR((X54-U54)/ABS(U54), 0)</f>
        <v/>
      </c>
      <c r="AA54" s="47" t="n">
        <v>-1005</v>
      </c>
      <c r="AB54" s="83">
        <f>AA54/$AA$3</f>
        <v/>
      </c>
      <c r="AC54" s="82">
        <f>IFERROR((AA54-X54)/ABS(X54), 0)</f>
        <v/>
      </c>
      <c r="AD54" s="47" t="n">
        <v>0</v>
      </c>
      <c r="AE54" s="47" t="n"/>
      <c r="AF54" s="82">
        <f>IFERROR((AD54-AA54)/ABS(AA54), 0)</f>
        <v/>
      </c>
      <c r="AG54" s="47" t="n">
        <v>-2283</v>
      </c>
      <c r="AH54" s="83">
        <f>AG54/$AG$3</f>
        <v/>
      </c>
      <c r="AI54" s="82">
        <f>IFERROR((AG54-AD54)/ABS(AD54), 0)</f>
        <v/>
      </c>
      <c r="AJ54" s="47" t="n">
        <v>0</v>
      </c>
      <c r="AK54" s="47" t="n"/>
      <c r="AL54" s="82">
        <f>IFERROR((AJ54-AG54)/ABS(AG54), 0)</f>
        <v/>
      </c>
      <c r="AM54" s="47">
        <f>C54+F54+I54+L54+O54+R54+U54+X54+AA54+AD54+AG54+AJ54</f>
        <v/>
      </c>
      <c r="AN54" s="83">
        <f>AM54/$AM$3</f>
        <v/>
      </c>
      <c r="AO54" s="47" t="n"/>
      <c r="AP54" s="47">
        <f>AM54/12</f>
        <v/>
      </c>
    </row>
    <row r="55">
      <c r="A55" s="2" t="n"/>
      <c r="B55" s="34" t="n"/>
      <c r="C55" s="50" t="n"/>
      <c r="D55" s="50" t="n"/>
      <c r="E55" s="51" t="n"/>
      <c r="F55" s="50" t="n"/>
      <c r="G55" s="50" t="n"/>
      <c r="H55" s="51" t="n"/>
      <c r="I55" s="50" t="n"/>
      <c r="J55" s="50" t="n"/>
      <c r="K55" s="51" t="n"/>
      <c r="L55" s="50" t="n"/>
      <c r="M55" s="50" t="n"/>
      <c r="N55" s="51" t="n"/>
      <c r="O55" s="50" t="n"/>
      <c r="P55" s="50" t="n"/>
      <c r="Q55" s="51" t="n"/>
      <c r="R55" s="50" t="n"/>
      <c r="S55" s="50" t="n"/>
      <c r="T55" s="51" t="n"/>
      <c r="U55" s="50" t="n"/>
      <c r="V55" s="50" t="n"/>
      <c r="W55" s="51" t="n"/>
      <c r="X55" s="50" t="n"/>
      <c r="Y55" s="50" t="n"/>
      <c r="Z55" s="51" t="n"/>
      <c r="AA55" s="50" t="n"/>
      <c r="AB55" s="50" t="n"/>
      <c r="AC55" s="51" t="n"/>
      <c r="AD55" s="50" t="n"/>
      <c r="AE55" s="50" t="n"/>
      <c r="AF55" s="51" t="n"/>
      <c r="AG55" s="50" t="n"/>
      <c r="AH55" s="50" t="n"/>
      <c r="AI55" s="51" t="n"/>
      <c r="AJ55" s="50" t="n"/>
      <c r="AK55" s="50" t="n"/>
      <c r="AL55" s="51" t="n"/>
      <c r="AM55" s="50">
        <f>C55+F55+I55+L55+O55+R55+U55+X55+AA55+AD55+AG55+AJ55</f>
        <v/>
      </c>
      <c r="AN55" s="78">
        <f>AM55/$AM$3</f>
        <v/>
      </c>
      <c r="AO55" s="50" t="n"/>
      <c r="AP55" s="50">
        <f>AM55/12</f>
        <v/>
      </c>
    </row>
    <row r="56">
      <c r="A56" s="41" t="inlineStr">
        <is>
          <t>(+/-)</t>
        </is>
      </c>
      <c r="B56" s="42" t="inlineStr">
        <is>
          <t>APORTES E DIVIDENDOS</t>
        </is>
      </c>
      <c r="C56" s="43">
        <f>C57+C58</f>
        <v/>
      </c>
      <c r="D56" s="80">
        <f>C56/$C$3</f>
        <v/>
      </c>
      <c r="E56" s="44" t="n"/>
      <c r="F56" s="43">
        <f>F57+F58</f>
        <v/>
      </c>
      <c r="G56" s="80">
        <f>F56/$F$3</f>
        <v/>
      </c>
      <c r="H56" s="81">
        <f>IFERROR((F56-C56)/ABS(C56), 0)</f>
        <v/>
      </c>
      <c r="I56" s="43">
        <f>I57+I58</f>
        <v/>
      </c>
      <c r="J56" s="80">
        <f>I56/$I$3</f>
        <v/>
      </c>
      <c r="K56" s="81">
        <f>IFERROR((I56-F56)/ABS(F56), 0)</f>
        <v/>
      </c>
      <c r="L56" s="43">
        <f>L57+L58</f>
        <v/>
      </c>
      <c r="M56" s="80">
        <f>L56/$L$3</f>
        <v/>
      </c>
      <c r="N56" s="81">
        <f>IFERROR((L56-I56)/ABS(I56), 0)</f>
        <v/>
      </c>
      <c r="O56" s="43">
        <f>O57+O58</f>
        <v/>
      </c>
      <c r="P56" s="80">
        <f>O56/$O$3</f>
        <v/>
      </c>
      <c r="Q56" s="81">
        <f>IFERROR((O56-L56)/ABS(L56), 0)</f>
        <v/>
      </c>
      <c r="R56" s="43">
        <f>R57+R58</f>
        <v/>
      </c>
      <c r="S56" s="80">
        <f>R56/$R$3</f>
        <v/>
      </c>
      <c r="T56" s="81">
        <f>IFERROR((R56-O56)/ABS(O56), 0)</f>
        <v/>
      </c>
      <c r="U56" s="43">
        <f>U57+U58</f>
        <v/>
      </c>
      <c r="V56" s="80">
        <f>U56/$U$3</f>
        <v/>
      </c>
      <c r="W56" s="81">
        <f>IFERROR((U56-R56)/ABS(R56), 0)</f>
        <v/>
      </c>
      <c r="X56" s="43">
        <f>X57+X58</f>
        <v/>
      </c>
      <c r="Y56" s="80">
        <f>X56/$X$3</f>
        <v/>
      </c>
      <c r="Z56" s="81">
        <f>IFERROR((X56-U56)/ABS(U56), 0)</f>
        <v/>
      </c>
      <c r="AA56" s="43">
        <f>AA57+AA58</f>
        <v/>
      </c>
      <c r="AB56" s="80">
        <f>AA56/$AA$3</f>
        <v/>
      </c>
      <c r="AC56" s="81">
        <f>IFERROR((AA56-X56)/ABS(X56), 0)</f>
        <v/>
      </c>
      <c r="AD56" s="43">
        <f>AD57+AD58</f>
        <v/>
      </c>
      <c r="AE56" s="80">
        <f>AD56/$AD$3</f>
        <v/>
      </c>
      <c r="AF56" s="81">
        <f>IFERROR((AD56-AA56)/ABS(AA56), 0)</f>
        <v/>
      </c>
      <c r="AG56" s="43">
        <f>AG57+AG58</f>
        <v/>
      </c>
      <c r="AH56" s="80">
        <f>AG56/$AG$3</f>
        <v/>
      </c>
      <c r="AI56" s="81">
        <f>IFERROR((AG56-AD56)/ABS(AD56), 0)</f>
        <v/>
      </c>
      <c r="AJ56" s="43">
        <f>AJ57+AJ58</f>
        <v/>
      </c>
      <c r="AK56" s="80">
        <f>AJ56/$AJ$3</f>
        <v/>
      </c>
      <c r="AL56" s="81">
        <f>IFERROR((AJ56-AG56)/ABS(AG56), 0)</f>
        <v/>
      </c>
      <c r="AM56" s="43">
        <f>C56+F56+I56+L56+O56+R56+U56+X56+AA56+AD56+AG56+AJ56</f>
        <v/>
      </c>
      <c r="AN56" s="80">
        <f>AM56/$AM$3</f>
        <v/>
      </c>
      <c r="AO56" s="43" t="n"/>
      <c r="AP56" s="43">
        <f>AM56/12</f>
        <v/>
      </c>
    </row>
    <row r="57">
      <c r="A57" s="45" t="n"/>
      <c r="B57" s="46" t="inlineStr">
        <is>
          <t>Aportes</t>
        </is>
      </c>
      <c r="C57" s="47" t="n">
        <v>0</v>
      </c>
      <c r="D57" s="47" t="n"/>
      <c r="E57" s="49" t="n"/>
      <c r="F57" s="47" t="n">
        <v>0</v>
      </c>
      <c r="G57" s="47" t="n"/>
      <c r="H57" s="82">
        <f>IFERROR((F57-C57)/ABS(C57), 0)</f>
        <v/>
      </c>
      <c r="I57" s="47" t="n">
        <v>0</v>
      </c>
      <c r="J57" s="47" t="n"/>
      <c r="K57" s="82">
        <f>IFERROR((I57-F57)/ABS(F57), 0)</f>
        <v/>
      </c>
      <c r="L57" s="47" t="n">
        <v>0</v>
      </c>
      <c r="M57" s="47" t="n"/>
      <c r="N57" s="82">
        <f>IFERROR((L57-I57)/ABS(I57), 0)</f>
        <v/>
      </c>
      <c r="O57" s="47" t="n">
        <v>0</v>
      </c>
      <c r="P57" s="47" t="n"/>
      <c r="Q57" s="82">
        <f>IFERROR((O57-L57)/ABS(L57), 0)</f>
        <v/>
      </c>
      <c r="R57" s="47" t="n">
        <v>0</v>
      </c>
      <c r="S57" s="47" t="n"/>
      <c r="T57" s="82">
        <f>IFERROR((R57-O57)/ABS(O57), 0)</f>
        <v/>
      </c>
      <c r="U57" s="47" t="n">
        <v>0</v>
      </c>
      <c r="V57" s="47" t="n"/>
      <c r="W57" s="82">
        <f>IFERROR((U57-R57)/ABS(R57), 0)</f>
        <v/>
      </c>
      <c r="X57" s="47" t="n">
        <v>0</v>
      </c>
      <c r="Y57" s="47" t="n"/>
      <c r="Z57" s="82">
        <f>IFERROR((X57-U57)/ABS(U57), 0)</f>
        <v/>
      </c>
      <c r="AA57" s="47" t="n">
        <v>0</v>
      </c>
      <c r="AB57" s="47" t="n"/>
      <c r="AC57" s="82">
        <f>IFERROR((AA57-X57)/ABS(X57), 0)</f>
        <v/>
      </c>
      <c r="AD57" s="47" t="n">
        <v>0</v>
      </c>
      <c r="AE57" s="47" t="n"/>
      <c r="AF57" s="82">
        <f>IFERROR((AD57-AA57)/ABS(AA57), 0)</f>
        <v/>
      </c>
      <c r="AG57" s="47" t="n">
        <v>0</v>
      </c>
      <c r="AH57" s="47" t="n"/>
      <c r="AI57" s="82">
        <f>IFERROR((AG57-AD57)/ABS(AD57), 0)</f>
        <v/>
      </c>
      <c r="AJ57" s="47" t="n">
        <v>0</v>
      </c>
      <c r="AK57" s="47" t="n"/>
      <c r="AL57" s="82">
        <f>IFERROR((AJ57-AG57)/ABS(AG57), 0)</f>
        <v/>
      </c>
      <c r="AM57" s="47">
        <f>C57+F57+I57+L57+O57+R57+U57+X57+AA57+AD57+AG57+AJ57</f>
        <v/>
      </c>
      <c r="AN57" s="83">
        <f>AM57/$AM$3</f>
        <v/>
      </c>
      <c r="AO57" s="47" t="n"/>
      <c r="AP57" s="47">
        <f>AM57/12</f>
        <v/>
      </c>
    </row>
    <row r="58">
      <c r="A58" s="45" t="n"/>
      <c r="B58" s="46" t="inlineStr">
        <is>
          <t>Distribuição de lucro</t>
        </is>
      </c>
      <c r="C58" s="47" t="n">
        <v>-120000</v>
      </c>
      <c r="D58" s="83">
        <f>C58/$C$3</f>
        <v/>
      </c>
      <c r="E58" s="49" t="n"/>
      <c r="F58" s="47" t="n">
        <v>-120000</v>
      </c>
      <c r="G58" s="83">
        <f>F58/$F$3</f>
        <v/>
      </c>
      <c r="H58" s="82">
        <f>IFERROR((F58-C58)/ABS(C58), 0)</f>
        <v/>
      </c>
      <c r="I58" s="47" t="n">
        <v>-120000</v>
      </c>
      <c r="J58" s="83">
        <f>I58/$I$3</f>
        <v/>
      </c>
      <c r="K58" s="82">
        <f>IFERROR((I58-F58)/ABS(F58), 0)</f>
        <v/>
      </c>
      <c r="L58" s="47" t="n">
        <v>-120000</v>
      </c>
      <c r="M58" s="83">
        <f>L58/$L$3</f>
        <v/>
      </c>
      <c r="N58" s="82">
        <f>IFERROR((L58-I58)/ABS(I58), 0)</f>
        <v/>
      </c>
      <c r="O58" s="47" t="n">
        <v>-120000</v>
      </c>
      <c r="P58" s="83">
        <f>O58/$O$3</f>
        <v/>
      </c>
      <c r="Q58" s="82">
        <f>IFERROR((O58-L58)/ABS(L58), 0)</f>
        <v/>
      </c>
      <c r="R58" s="47" t="n">
        <v>-500000</v>
      </c>
      <c r="S58" s="83">
        <f>R58/$R$3</f>
        <v/>
      </c>
      <c r="T58" s="82">
        <f>IFERROR((R58-O58)/ABS(O58), 0)</f>
        <v/>
      </c>
      <c r="U58" s="47" t="n">
        <v>0</v>
      </c>
      <c r="V58" s="47" t="n"/>
      <c r="W58" s="82">
        <f>IFERROR((U58-R58)/ABS(R58), 0)</f>
        <v/>
      </c>
      <c r="X58" s="47" t="n">
        <v>-300000</v>
      </c>
      <c r="Y58" s="83">
        <f>X58/$X$3</f>
        <v/>
      </c>
      <c r="Z58" s="82">
        <f>IFERROR((X58-U58)/ABS(U58), 0)</f>
        <v/>
      </c>
      <c r="AA58" s="47" t="n">
        <v>0</v>
      </c>
      <c r="AB58" s="47" t="n"/>
      <c r="AC58" s="82">
        <f>IFERROR((AA58-X58)/ABS(X58), 0)</f>
        <v/>
      </c>
      <c r="AD58" s="47" t="n">
        <v>-300000</v>
      </c>
      <c r="AE58" s="83">
        <f>AD58/$AD$3</f>
        <v/>
      </c>
      <c r="AF58" s="82">
        <f>IFERROR((AD58-AA58)/ABS(AA58), 0)</f>
        <v/>
      </c>
      <c r="AG58" s="47" t="n">
        <v>0</v>
      </c>
      <c r="AH58" s="47" t="n"/>
      <c r="AI58" s="82">
        <f>IFERROR((AG58-AD58)/ABS(AD58), 0)</f>
        <v/>
      </c>
      <c r="AJ58" s="47" t="n">
        <v>-1000000</v>
      </c>
      <c r="AK58" s="83">
        <f>AJ58/$AJ$3</f>
        <v/>
      </c>
      <c r="AL58" s="82">
        <f>IFERROR((AJ58-AG58)/ABS(AG58), 0)</f>
        <v/>
      </c>
      <c r="AM58" s="47">
        <f>C58+F58+I58+L58+O58+R58+U58+X58+AA58+AD58+AG58+AJ58</f>
        <v/>
      </c>
      <c r="AN58" s="83">
        <f>AM58/$AM$3</f>
        <v/>
      </c>
      <c r="AO58" s="47" t="n"/>
      <c r="AP58" s="47">
        <f>AM58/12</f>
        <v/>
      </c>
    </row>
    <row r="59">
      <c r="A59" s="2" t="n"/>
      <c r="B59" s="34" t="n"/>
      <c r="C59" s="50" t="n"/>
      <c r="D59" s="50" t="n"/>
      <c r="E59" s="51" t="n"/>
      <c r="F59" s="50" t="n"/>
      <c r="G59" s="50" t="n"/>
      <c r="H59" s="51" t="n"/>
      <c r="I59" s="50" t="n"/>
      <c r="J59" s="50" t="n"/>
      <c r="K59" s="51" t="n"/>
      <c r="L59" s="50" t="n"/>
      <c r="M59" s="50" t="n"/>
      <c r="N59" s="51" t="n"/>
      <c r="O59" s="50" t="n"/>
      <c r="P59" s="50" t="n"/>
      <c r="Q59" s="51" t="n"/>
      <c r="R59" s="50" t="n"/>
      <c r="S59" s="50" t="n"/>
      <c r="T59" s="51" t="n"/>
      <c r="U59" s="50" t="n"/>
      <c r="V59" s="50" t="n"/>
      <c r="W59" s="51" t="n"/>
      <c r="X59" s="50" t="n"/>
      <c r="Y59" s="50" t="n"/>
      <c r="Z59" s="51" t="n"/>
      <c r="AA59" s="50" t="n"/>
      <c r="AB59" s="50" t="n"/>
      <c r="AC59" s="51" t="n"/>
      <c r="AD59" s="50" t="n"/>
      <c r="AE59" s="50" t="n"/>
      <c r="AF59" s="51" t="n"/>
      <c r="AG59" s="50" t="n"/>
      <c r="AH59" s="50" t="n"/>
      <c r="AI59" s="51" t="n"/>
      <c r="AJ59" s="50" t="n"/>
      <c r="AK59" s="50" t="n"/>
      <c r="AL59" s="51" t="n"/>
      <c r="AM59" s="50">
        <f>C59+F59+I59+L59+O59+R59+U59+X59+AA59+AD59+AG59+AJ59</f>
        <v/>
      </c>
      <c r="AN59" s="78">
        <f>AM59/$AM$3</f>
        <v/>
      </c>
      <c r="AO59" s="50" t="n"/>
      <c r="AP59" s="50">
        <f>AM59/12</f>
        <v/>
      </c>
    </row>
    <row r="60">
      <c r="A60" s="41" t="inlineStr">
        <is>
          <t>(+/-)</t>
        </is>
      </c>
      <c r="B60" s="42" t="inlineStr">
        <is>
          <t>MOVIMENTAÇÕES FINANCEIRAS</t>
        </is>
      </c>
      <c r="C60" s="43">
        <f>C61</f>
        <v/>
      </c>
      <c r="D60" s="80">
        <f>C60/$C$3</f>
        <v/>
      </c>
      <c r="E60" s="44" t="n"/>
      <c r="F60" s="43">
        <f>F61</f>
        <v/>
      </c>
      <c r="G60" s="80">
        <f>F60/$F$3</f>
        <v/>
      </c>
      <c r="H60" s="81">
        <f>IFERROR((F60-C60)/ABS(C60), 0)</f>
        <v/>
      </c>
      <c r="I60" s="43">
        <f>I61</f>
        <v/>
      </c>
      <c r="J60" s="80">
        <f>I60/$I$3</f>
        <v/>
      </c>
      <c r="K60" s="81">
        <f>IFERROR((I60-F60)/ABS(F60), 0)</f>
        <v/>
      </c>
      <c r="L60" s="43">
        <f>L61</f>
        <v/>
      </c>
      <c r="M60" s="80">
        <f>L60/$L$3</f>
        <v/>
      </c>
      <c r="N60" s="81">
        <f>IFERROR((L60-I60)/ABS(I60), 0)</f>
        <v/>
      </c>
      <c r="O60" s="43">
        <f>O61</f>
        <v/>
      </c>
      <c r="P60" s="80">
        <f>O60/$O$3</f>
        <v/>
      </c>
      <c r="Q60" s="81">
        <f>IFERROR((O60-L60)/ABS(L60), 0)</f>
        <v/>
      </c>
      <c r="R60" s="43">
        <f>R61</f>
        <v/>
      </c>
      <c r="S60" s="80">
        <f>R60/$R$3</f>
        <v/>
      </c>
      <c r="T60" s="81">
        <f>IFERROR((R60-O60)/ABS(O60), 0)</f>
        <v/>
      </c>
      <c r="U60" s="43">
        <f>U61</f>
        <v/>
      </c>
      <c r="V60" s="80">
        <f>U60/$U$3</f>
        <v/>
      </c>
      <c r="W60" s="81">
        <f>IFERROR((U60-R60)/ABS(R60), 0)</f>
        <v/>
      </c>
      <c r="X60" s="43">
        <f>X61</f>
        <v/>
      </c>
      <c r="Y60" s="80">
        <f>X60/$X$3</f>
        <v/>
      </c>
      <c r="Z60" s="81">
        <f>IFERROR((X60-U60)/ABS(U60), 0)</f>
        <v/>
      </c>
      <c r="AA60" s="43">
        <f>AA61</f>
        <v/>
      </c>
      <c r="AB60" s="80">
        <f>AA60/$AA$3</f>
        <v/>
      </c>
      <c r="AC60" s="81">
        <f>IFERROR((AA60-X60)/ABS(X60), 0)</f>
        <v/>
      </c>
      <c r="AD60" s="43">
        <f>AD61</f>
        <v/>
      </c>
      <c r="AE60" s="80">
        <f>AD60/$AD$3</f>
        <v/>
      </c>
      <c r="AF60" s="81">
        <f>IFERROR((AD60-AA60)/ABS(AA60), 0)</f>
        <v/>
      </c>
      <c r="AG60" s="43">
        <f>AG61</f>
        <v/>
      </c>
      <c r="AH60" s="80">
        <f>AG60/$AG$3</f>
        <v/>
      </c>
      <c r="AI60" s="81">
        <f>IFERROR((AG60-AD60)/ABS(AD60), 0)</f>
        <v/>
      </c>
      <c r="AJ60" s="43">
        <f>AJ61</f>
        <v/>
      </c>
      <c r="AK60" s="80">
        <f>AJ60/$AJ$3</f>
        <v/>
      </c>
      <c r="AL60" s="81">
        <f>IFERROR((AJ60-AG60)/ABS(AG60), 0)</f>
        <v/>
      </c>
      <c r="AM60" s="43">
        <f>C60+F60+I60+L60+O60+R60+U60+X60+AA60+AD60+AG60+AJ60</f>
        <v/>
      </c>
      <c r="AN60" s="80">
        <f>AM60/$AM$3</f>
        <v/>
      </c>
      <c r="AO60" s="43" t="n"/>
      <c r="AP60" s="43">
        <f>AM60/12</f>
        <v/>
      </c>
    </row>
    <row r="61">
      <c r="A61" s="45" t="n"/>
      <c r="B61" s="46" t="inlineStr">
        <is>
          <t>Pagamento de empréstimo tomado</t>
        </is>
      </c>
      <c r="C61" s="47" t="n">
        <v>-30000</v>
      </c>
      <c r="D61" s="83">
        <f>C61/$C$3</f>
        <v/>
      </c>
      <c r="E61" s="49" t="n"/>
      <c r="F61" s="47" t="n">
        <v>-30000</v>
      </c>
      <c r="G61" s="83">
        <f>F61/$F$3</f>
        <v/>
      </c>
      <c r="H61" s="82">
        <f>IFERROR((F61-C61)/ABS(C61), 0)</f>
        <v/>
      </c>
      <c r="I61" s="47" t="n">
        <v>-30000</v>
      </c>
      <c r="J61" s="83">
        <f>I61/$I$3</f>
        <v/>
      </c>
      <c r="K61" s="82">
        <f>IFERROR((I61-F61)/ABS(F61), 0)</f>
        <v/>
      </c>
      <c r="L61" s="47" t="n">
        <v>-30000</v>
      </c>
      <c r="M61" s="83">
        <f>L61/$L$3</f>
        <v/>
      </c>
      <c r="N61" s="82">
        <f>IFERROR((L61-I61)/ABS(I61), 0)</f>
        <v/>
      </c>
      <c r="O61" s="47" t="n">
        <v>-30000</v>
      </c>
      <c r="P61" s="83">
        <f>O61/$O$3</f>
        <v/>
      </c>
      <c r="Q61" s="82">
        <f>IFERROR((O61-L61)/ABS(L61), 0)</f>
        <v/>
      </c>
      <c r="R61" s="47" t="n">
        <v>-30000</v>
      </c>
      <c r="S61" s="83">
        <f>R61/$R$3</f>
        <v/>
      </c>
      <c r="T61" s="82">
        <f>IFERROR((R61-O61)/ABS(O61), 0)</f>
        <v/>
      </c>
      <c r="U61" s="47" t="n">
        <v>-30000</v>
      </c>
      <c r="V61" s="83">
        <f>U61/$U$3</f>
        <v/>
      </c>
      <c r="W61" s="82">
        <f>IFERROR((U61-R61)/ABS(R61), 0)</f>
        <v/>
      </c>
      <c r="X61" s="47" t="n">
        <v>-30000</v>
      </c>
      <c r="Y61" s="83">
        <f>X61/$X$3</f>
        <v/>
      </c>
      <c r="Z61" s="82">
        <f>IFERROR((X61-U61)/ABS(U61), 0)</f>
        <v/>
      </c>
      <c r="AA61" s="47" t="n">
        <v>-30000</v>
      </c>
      <c r="AB61" s="83">
        <f>AA61/$AA$3</f>
        <v/>
      </c>
      <c r="AC61" s="82">
        <f>IFERROR((AA61-X61)/ABS(X61), 0)</f>
        <v/>
      </c>
      <c r="AD61" s="47" t="n">
        <v>-30000</v>
      </c>
      <c r="AE61" s="83">
        <f>AD61/$AD$3</f>
        <v/>
      </c>
      <c r="AF61" s="82">
        <f>IFERROR((AD61-AA61)/ABS(AA61), 0)</f>
        <v/>
      </c>
      <c r="AG61" s="47" t="n">
        <v>-30000</v>
      </c>
      <c r="AH61" s="83">
        <f>AG61/$AG$3</f>
        <v/>
      </c>
      <c r="AI61" s="82">
        <f>IFERROR((AG61-AD61)/ABS(AD61), 0)</f>
        <v/>
      </c>
      <c r="AJ61" s="47" t="n">
        <v>-30000</v>
      </c>
      <c r="AK61" s="83">
        <f>AJ61/$AJ$3</f>
        <v/>
      </c>
      <c r="AL61" s="82">
        <f>IFERROR((AJ61-AG61)/ABS(AG61), 0)</f>
        <v/>
      </c>
      <c r="AM61" s="47">
        <f>C61+F61+I61+L61+O61+R61+U61+X61+AA61+AD61+AG61+AJ61</f>
        <v/>
      </c>
      <c r="AN61" s="83">
        <f>AM61/$AM$3</f>
        <v/>
      </c>
      <c r="AO61" s="47" t="n"/>
      <c r="AP61" s="47">
        <f>AM61/12</f>
        <v/>
      </c>
    </row>
    <row r="62">
      <c r="A62" s="2" t="n"/>
      <c r="B62" s="34" t="n"/>
      <c r="C62" s="50" t="n"/>
      <c r="D62" s="50" t="n"/>
      <c r="E62" s="51" t="n"/>
      <c r="F62" s="50" t="n"/>
      <c r="G62" s="50" t="n"/>
      <c r="H62" s="51" t="n"/>
      <c r="I62" s="50" t="n"/>
      <c r="J62" s="50" t="n"/>
      <c r="K62" s="51" t="n"/>
      <c r="L62" s="50" t="n"/>
      <c r="M62" s="50" t="n"/>
      <c r="N62" s="51" t="n"/>
      <c r="O62" s="50" t="n"/>
      <c r="P62" s="50" t="n"/>
      <c r="Q62" s="51" t="n"/>
      <c r="R62" s="50" t="n"/>
      <c r="S62" s="50" t="n"/>
      <c r="T62" s="51" t="n"/>
      <c r="U62" s="50" t="n"/>
      <c r="V62" s="50" t="n"/>
      <c r="W62" s="51" t="n"/>
      <c r="X62" s="50" t="n"/>
      <c r="Y62" s="50" t="n"/>
      <c r="Z62" s="51" t="n"/>
      <c r="AA62" s="50" t="n"/>
      <c r="AB62" s="50" t="n"/>
      <c r="AC62" s="51" t="n"/>
      <c r="AD62" s="50" t="n"/>
      <c r="AE62" s="50" t="n"/>
      <c r="AF62" s="51" t="n"/>
      <c r="AG62" s="50" t="n"/>
      <c r="AH62" s="50" t="n"/>
      <c r="AI62" s="51" t="n"/>
      <c r="AJ62" s="50" t="n"/>
      <c r="AK62" s="50" t="n"/>
      <c r="AL62" s="51" t="n"/>
      <c r="AM62" s="50">
        <f>C62+F62+I62+L62+O62+R62+U62+X62+AA62+AD62+AG62+AJ62</f>
        <v/>
      </c>
      <c r="AN62" s="78">
        <f>AM62/$AM$3</f>
        <v/>
      </c>
      <c r="AO62" s="50" t="n"/>
      <c r="AP62" s="50">
        <f>AM62/12</f>
        <v/>
      </c>
    </row>
    <row r="63">
      <c r="A63" s="52" t="inlineStr">
        <is>
          <t>(=)</t>
        </is>
      </c>
      <c r="B63" s="53" t="inlineStr">
        <is>
          <t>SALDO GERENCIAL</t>
        </is>
      </c>
      <c r="C63" s="54">
        <f>C48+C52+C56+C60</f>
        <v/>
      </c>
      <c r="D63" s="84">
        <f>C63/$C$3</f>
        <v/>
      </c>
      <c r="E63" s="55" t="n"/>
      <c r="F63" s="54">
        <f>F48+F52+F56+F60</f>
        <v/>
      </c>
      <c r="G63" s="84">
        <f>F63/$F$3</f>
        <v/>
      </c>
      <c r="H63" s="85">
        <f>IFERROR((F63-C63)/ABS(C63), 0)</f>
        <v/>
      </c>
      <c r="I63" s="54">
        <f>I48+I52+I56+I60</f>
        <v/>
      </c>
      <c r="J63" s="84">
        <f>I63/$I$3</f>
        <v/>
      </c>
      <c r="K63" s="85">
        <f>IFERROR((I63-F63)/ABS(F63), 0)</f>
        <v/>
      </c>
      <c r="L63" s="54">
        <f>L48+L52+L56+L60</f>
        <v/>
      </c>
      <c r="M63" s="84">
        <f>L63/$L$3</f>
        <v/>
      </c>
      <c r="N63" s="85">
        <f>IFERROR((L63-I63)/ABS(I63), 0)</f>
        <v/>
      </c>
      <c r="O63" s="54">
        <f>O48+O52+O56+O60</f>
        <v/>
      </c>
      <c r="P63" s="84">
        <f>O63/$O$3</f>
        <v/>
      </c>
      <c r="Q63" s="85">
        <f>IFERROR((O63-L63)/ABS(L63), 0)</f>
        <v/>
      </c>
      <c r="R63" s="54">
        <f>R48+R52+R56+R60</f>
        <v/>
      </c>
      <c r="S63" s="84">
        <f>R63/$R$3</f>
        <v/>
      </c>
      <c r="T63" s="85">
        <f>IFERROR((R63-O63)/ABS(O63), 0)</f>
        <v/>
      </c>
      <c r="U63" s="54">
        <f>U48+U52+U56+U60</f>
        <v/>
      </c>
      <c r="V63" s="84">
        <f>U63/$U$3</f>
        <v/>
      </c>
      <c r="W63" s="85">
        <f>IFERROR((U63-R63)/ABS(R63), 0)</f>
        <v/>
      </c>
      <c r="X63" s="54">
        <f>X48+X52+X56+X60</f>
        <v/>
      </c>
      <c r="Y63" s="84">
        <f>X63/$X$3</f>
        <v/>
      </c>
      <c r="Z63" s="85">
        <f>IFERROR((X63-U63)/ABS(U63), 0)</f>
        <v/>
      </c>
      <c r="AA63" s="54">
        <f>AA48+AA52+AA56+AA60</f>
        <v/>
      </c>
      <c r="AB63" s="84">
        <f>AA63/$AA$3</f>
        <v/>
      </c>
      <c r="AC63" s="85">
        <f>IFERROR((AA63-X63)/ABS(X63), 0)</f>
        <v/>
      </c>
      <c r="AD63" s="54">
        <f>AD48+AD52+AD56+AD60</f>
        <v/>
      </c>
      <c r="AE63" s="84">
        <f>AD63/$AD$3</f>
        <v/>
      </c>
      <c r="AF63" s="85">
        <f>IFERROR((AD63-AA63)/ABS(AA63), 0)</f>
        <v/>
      </c>
      <c r="AG63" s="54">
        <f>AG48+AG52+AG56+AG60</f>
        <v/>
      </c>
      <c r="AH63" s="84">
        <f>AG63/$AG$3</f>
        <v/>
      </c>
      <c r="AI63" s="85">
        <f>IFERROR((AG63-AD63)/ABS(AD63), 0)</f>
        <v/>
      </c>
      <c r="AJ63" s="54">
        <f>AJ48+AJ52+AJ56+AJ60</f>
        <v/>
      </c>
      <c r="AK63" s="84">
        <f>AJ63/$AJ$3</f>
        <v/>
      </c>
      <c r="AL63" s="85">
        <f>IFERROR((AJ63-AG63)/ABS(AG63), 0)</f>
        <v/>
      </c>
      <c r="AM63" s="54">
        <f>C63+F63+I63+L63+O63+R63+U63+X63+AA63+AD63+AG63+AJ63</f>
        <v/>
      </c>
      <c r="AN63" s="84">
        <f>AM63/$AM$3</f>
        <v/>
      </c>
      <c r="AO63" s="54" t="n"/>
      <c r="AP63" s="54">
        <f>AM63/12</f>
        <v/>
      </c>
    </row>
  </sheetData>
  <mergeCells count="12">
    <mergeCell ref="L1:N1"/>
    <mergeCell ref="AA1:AC1"/>
    <mergeCell ref="O1:Q1"/>
    <mergeCell ref="C1:E1"/>
    <mergeCell ref="AJ1:AL1"/>
    <mergeCell ref="AD1:AF1"/>
    <mergeCell ref="AG1:AI1"/>
    <mergeCell ref="U1:W1"/>
    <mergeCell ref="F1:H1"/>
    <mergeCell ref="I1:K1"/>
    <mergeCell ref="R1:T1"/>
    <mergeCell ref="X1:Z1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2026-02-13T15:27:07Z</dcterms:created>
  <dcterms:modified xmlns:dcterms="http://purl.org/dc/terms/" xmlns:xsi="http://www.w3.org/2001/XMLSchema-instance" xsi:type="dcterms:W3CDTF">2026-02-28T19:39:23Z</dcterms:modified>
  <cp:lastModifiedBy>Dell</cp:lastModifiedBy>
</cp:coreProperties>
</file>